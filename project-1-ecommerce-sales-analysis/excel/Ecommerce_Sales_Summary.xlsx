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  <sheet name="Pivot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<sst xmlns="http://schemas.openxmlformats.org/spreadsheetml/2006/main" count="1199" uniqueCount="56">
  <si>
    <t xml:space="preserve">Month</t>
  </si>
  <si>
    <t xml:space="preserve">Year</t>
  </si>
  <si>
    <t xml:space="preserve">Category</t>
  </si>
  <si>
    <t xml:space="preserve">Region</t>
  </si>
  <si>
    <t xml:space="preserve">Orders</t>
  </si>
  <si>
    <t xml:space="preserve">Revenue</t>
  </si>
  <si>
    <t xml:space="preserve">Profit</t>
  </si>
  <si>
    <t xml:space="preserve">2023-01</t>
  </si>
  <si>
    <t xml:space="preserve">Electronics</t>
  </si>
  <si>
    <t xml:space="preserve">East</t>
  </si>
  <si>
    <t xml:space="preserve">North</t>
  </si>
  <si>
    <t xml:space="preserve">South</t>
  </si>
  <si>
    <t xml:space="preserve">West</t>
  </si>
  <si>
    <t xml:space="preserve">Fashion</t>
  </si>
  <si>
    <t xml:space="preserve">Grocery</t>
  </si>
  <si>
    <t xml:space="preserve">Home &amp; Kitchen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</si>
  <si>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</si>
  <si>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</si>
  <si>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</si>
  <si>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</si>
  <si>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</si>
  <si>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</si>
  <si>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</si>
  <si>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</si>
  <si>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</si>
  <si>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</si>
  <si>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</si>
  <si>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</si>
  <si>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</si>
  <si>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</si>
  <si>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</si>
  <si>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</si>
  <si>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</si>
  <si>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</si>
  <si>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</si>
  <si>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</si>
  <si>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</si>
  <si>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</si>
  <si>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</si>
  <si>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E-commerce sales summary (Delivered orders, INR)</t>
  </si>
  <si>
    <t xml:space="preserve">All numbers below are live SUMIFS formulas on the Sales_Data sheet.</t>
  </si>
  <si>
    <t xml:space="preserve">Revenue by category</t>
  </si>
  <si>
    <t xml:space="preserve">Margin %</t>
  </si>
  <si>
    <t xml:space="preserve">Share of revenue</t>
  </si>
  <si>
    <t xml:space="preserve">Total</t>
  </si>
  <si>
    <t xml:space="preserve">Revenue by region</t>
  </si>
  <si>
    <t xml:space="preserve">Revenue by year</t>
  </si>
  <si>
    <t xml:space="preserve">HOW TO BUILD THE PIVOT TABLE (takes ~2 minutes) - this is the Excel skill to show in interviews</t>
  </si>
  <si>
    <t xml:space="preserve">1. Open the Sales_Data sheet and click any cell inside the table (it is already an Excel Table named SalesTbl).</t>
  </si>
  <si>
    <t xml:space="preserve">2. Insert &gt; PivotTable &gt; New Worksheet.</t>
  </si>
  <si>
    <t xml:space="preserve">3. Rows: Category. Columns: Year. Values: Sum of Revenue and Sum of Profit.</t>
  </si>
  <si>
    <t xml:space="preserve">4. Add a calculated field: Margin = Profit / Revenue (PivotTable Analyze &gt; Fields, Items &amp; Sets &gt; Calculated Field).</t>
  </si>
  <si>
    <t xml:space="preserve">5. Insert &gt; Slicer &gt; Region and Month so stakeholders can filter interactively.</t>
  </si>
  <si>
    <t xml:space="preserve">6. Sort the Category rows by Sum of Revenue (largest first) and apply Conditional Formatting &gt; Data Bars.</t>
  </si>
  <si>
    <t xml:space="preserve">7. Insert &gt; PivotChart (clustered column) next to the table and label the axes in INR.</t>
  </si>
  <si>
    <t xml:space="preserve">Interview talking point: the Summary sheet cross-checks the PivotTable - both must return identical totals.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</si>
</sst>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</c:strCache>
            </c:strRef>
          </c:cat>
          <c:val>
            <c:numRef>
              <c:f>Summary!$B$6:$B$9</c:f>
              <c:numCache>
                <c:formatCode>#,##0</c:formatCode>
                <c:ptCount val="4"/>
                <c:pt idx="0">
                  <c:v>251253738</c:v>
                </c:pt>
                <c:pt idx="1">
                  <c:v>22371313</c:v>
                </c:pt>
                <c:pt idx="2">
                  <c:v>1737699</c:v>
                </c:pt>
                <c:pt idx="3">
                  <c:v>59490426</c:v>
                </c:pt>
              </c:numCache>
            </c:numRef>
          </c:val>
        </c:ser>
        <c:gapWidth val="150"/>
        <c:overlap val="0"/>
        <c:axId val="90541028"/>
        <c:axId val="64692607"/>
      </c:barChart>
      <c:catAx>
        <c:axId val="90541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92607"/>
        <c:crosses val="autoZero"/>
        <c:auto val="1"/>
        <c:lblAlgn val="ctr"/>
        <c:lblOffset val="100"/>
        <c:noMultiLvlLbl val="0"/>
      </c:catAx>
      <c:valAx>
        <c:axId val="64692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41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71438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bl" displayName="SalesTbl" ref="A1:G385" headerRowCount="1" totalsRowCount="0" totalsRowShown="0">
  <autoFilter ref="A1:G385"/>
  <tableColumns count="7">
    <tableColumn id="1" name="Month"/>
    <tableColumn id="2" name="Year"/>
    <tableColumn id="3" name="Category"/>
    <tableColumn id="4" name="Region"/>
    <tableColumn id="5" name="Orders"/>
    <tableColumn id="6" name="Revenue"/>
    <tableColumn id="7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2023</v>
      </c>
      <c r="C2" s="2" t="s">
        <v>8</v>
      </c>
      <c r="D2" s="2" t="s">
        <v>9</v>
      </c>
      <c r="E2" s="2" t="n">
        <v>6</v>
      </c>
      <c r="F2" s="3" t="n">
        <v>390775</v>
      </c>
      <c r="G2" s="3" t="n">
        <v>39105</v>
      </c>
    </row>
    <row r="3" customFormat="false" ht="15" hidden="false" customHeight="false" outlineLevel="0" collapsed="false">
      <c r="A3" s="2" t="s">
        <v>7</v>
      </c>
      <c r="B3" s="2" t="n">
        <v>2023</v>
      </c>
      <c r="C3" s="2" t="s">
        <v>8</v>
      </c>
      <c r="D3" s="2" t="s">
        <v>10</v>
      </c>
      <c r="E3" s="2" t="n">
        <v>9</v>
      </c>
      <c r="F3" s="3" t="n">
        <v>726522</v>
      </c>
      <c r="G3" s="3" t="n">
        <v>44645</v>
      </c>
    </row>
    <row r="4" customFormat="false" ht="15" hidden="false" customHeight="false" outlineLevel="0" collapsed="false">
      <c r="A4" s="2" t="s">
        <v>7</v>
      </c>
      <c r="B4" s="2" t="n">
        <v>2023</v>
      </c>
      <c r="C4" s="2" t="s">
        <v>8</v>
      </c>
      <c r="D4" s="2" t="s">
        <v>11</v>
      </c>
      <c r="E4" s="2" t="n">
        <v>13</v>
      </c>
      <c r="F4" s="3" t="n">
        <v>529729</v>
      </c>
      <c r="G4" s="3" t="n">
        <v>17376</v>
      </c>
    </row>
    <row r="5" customFormat="false" ht="15" hidden="false" customHeight="false" outlineLevel="0" collapsed="false">
      <c r="A5" s="2" t="s">
        <v>7</v>
      </c>
      <c r="B5" s="2" t="n">
        <v>2023</v>
      </c>
      <c r="C5" s="2" t="s">
        <v>8</v>
      </c>
      <c r="D5" s="2" t="s">
        <v>12</v>
      </c>
      <c r="E5" s="2" t="n">
        <v>16</v>
      </c>
      <c r="F5" s="3" t="n">
        <v>1082243</v>
      </c>
      <c r="G5" s="3" t="n">
        <v>-4720</v>
      </c>
    </row>
    <row r="6" customFormat="false" ht="15" hidden="false" customHeight="false" outlineLevel="0" collapsed="false">
      <c r="A6" s="2" t="s">
        <v>7</v>
      </c>
      <c r="B6" s="2" t="n">
        <v>2023</v>
      </c>
      <c r="C6" s="2" t="s">
        <v>13</v>
      </c>
      <c r="D6" s="2" t="s">
        <v>9</v>
      </c>
      <c r="E6" s="2" t="n">
        <v>6</v>
      </c>
      <c r="F6" s="3" t="n">
        <v>52341</v>
      </c>
      <c r="G6" s="3" t="n">
        <v>20547</v>
      </c>
    </row>
    <row r="7" customFormat="false" ht="15" hidden="false" customHeight="false" outlineLevel="0" collapsed="false">
      <c r="A7" s="2" t="s">
        <v>7</v>
      </c>
      <c r="B7" s="2" t="n">
        <v>2023</v>
      </c>
      <c r="C7" s="2" t="s">
        <v>13</v>
      </c>
      <c r="D7" s="2" t="s">
        <v>10</v>
      </c>
      <c r="E7" s="2" t="n">
        <v>13</v>
      </c>
      <c r="F7" s="3" t="n">
        <v>91195</v>
      </c>
      <c r="G7" s="3" t="n">
        <v>39362</v>
      </c>
    </row>
    <row r="8" customFormat="false" ht="15" hidden="false" customHeight="false" outlineLevel="0" collapsed="false">
      <c r="A8" s="2" t="s">
        <v>7</v>
      </c>
      <c r="B8" s="2" t="n">
        <v>2023</v>
      </c>
      <c r="C8" s="2" t="s">
        <v>13</v>
      </c>
      <c r="D8" s="2" t="s">
        <v>11</v>
      </c>
      <c r="E8" s="2" t="n">
        <v>19</v>
      </c>
      <c r="F8" s="3" t="n">
        <v>96911</v>
      </c>
      <c r="G8" s="3" t="n">
        <v>39618</v>
      </c>
    </row>
    <row r="9" customFormat="false" ht="15" hidden="false" customHeight="false" outlineLevel="0" collapsed="false">
      <c r="A9" s="2" t="s">
        <v>7</v>
      </c>
      <c r="B9" s="2" t="n">
        <v>2023</v>
      </c>
      <c r="C9" s="2" t="s">
        <v>13</v>
      </c>
      <c r="D9" s="2" t="s">
        <v>12</v>
      </c>
      <c r="E9" s="2" t="n">
        <v>24</v>
      </c>
      <c r="F9" s="3" t="n">
        <v>108292</v>
      </c>
      <c r="G9" s="3" t="n">
        <v>40345</v>
      </c>
    </row>
    <row r="10" customFormat="false" ht="15" hidden="false" customHeight="false" outlineLevel="0" collapsed="false">
      <c r="A10" s="2" t="s">
        <v>7</v>
      </c>
      <c r="B10" s="2" t="n">
        <v>2023</v>
      </c>
      <c r="C10" s="2" t="s">
        <v>14</v>
      </c>
      <c r="D10" s="2" t="s">
        <v>9</v>
      </c>
      <c r="E10" s="2" t="n">
        <v>10</v>
      </c>
      <c r="F10" s="3" t="n">
        <v>3203</v>
      </c>
      <c r="G10" s="3" t="n">
        <v>359</v>
      </c>
    </row>
    <row r="11" customFormat="false" ht="15" hidden="false" customHeight="false" outlineLevel="0" collapsed="false">
      <c r="A11" s="2" t="s">
        <v>7</v>
      </c>
      <c r="B11" s="2" t="n">
        <v>2023</v>
      </c>
      <c r="C11" s="2" t="s">
        <v>14</v>
      </c>
      <c r="D11" s="2" t="s">
        <v>10</v>
      </c>
      <c r="E11" s="2" t="n">
        <v>9</v>
      </c>
      <c r="F11" s="3" t="n">
        <v>4030</v>
      </c>
      <c r="G11" s="3" t="n">
        <v>202</v>
      </c>
    </row>
    <row r="12" customFormat="false" ht="15" hidden="false" customHeight="false" outlineLevel="0" collapsed="false">
      <c r="A12" s="2" t="s">
        <v>7</v>
      </c>
      <c r="B12" s="2" t="n">
        <v>2023</v>
      </c>
      <c r="C12" s="2" t="s">
        <v>14</v>
      </c>
      <c r="D12" s="2" t="s">
        <v>11</v>
      </c>
      <c r="E12" s="2" t="n">
        <v>14</v>
      </c>
      <c r="F12" s="3" t="n">
        <v>7536</v>
      </c>
      <c r="G12" s="3" t="n">
        <v>355</v>
      </c>
    </row>
    <row r="13" customFormat="false" ht="15" hidden="false" customHeight="false" outlineLevel="0" collapsed="false">
      <c r="A13" s="2" t="s">
        <v>7</v>
      </c>
      <c r="B13" s="2" t="n">
        <v>2023</v>
      </c>
      <c r="C13" s="2" t="s">
        <v>14</v>
      </c>
      <c r="D13" s="2" t="s">
        <v>12</v>
      </c>
      <c r="E13" s="2" t="n">
        <v>17</v>
      </c>
      <c r="F13" s="3" t="n">
        <v>7276</v>
      </c>
      <c r="G13" s="3" t="n">
        <v>377</v>
      </c>
    </row>
    <row r="14" customFormat="false" ht="15" hidden="false" customHeight="false" outlineLevel="0" collapsed="false">
      <c r="A14" s="2" t="s">
        <v>7</v>
      </c>
      <c r="B14" s="2" t="n">
        <v>2023</v>
      </c>
      <c r="C14" s="2" t="s">
        <v>15</v>
      </c>
      <c r="D14" s="2" t="s">
        <v>9</v>
      </c>
      <c r="E14" s="2" t="n">
        <v>11</v>
      </c>
      <c r="F14" s="3" t="n">
        <v>457644</v>
      </c>
      <c r="G14" s="3" t="n">
        <v>106351</v>
      </c>
    </row>
    <row r="15" customFormat="false" ht="15" hidden="false" customHeight="false" outlineLevel="0" collapsed="false">
      <c r="A15" s="2" t="s">
        <v>7</v>
      </c>
      <c r="B15" s="2" t="n">
        <v>2023</v>
      </c>
      <c r="C15" s="2" t="s">
        <v>15</v>
      </c>
      <c r="D15" s="2" t="s">
        <v>10</v>
      </c>
      <c r="E15" s="2" t="n">
        <v>9</v>
      </c>
      <c r="F15" s="3" t="n">
        <v>203241</v>
      </c>
      <c r="G15" s="3" t="n">
        <v>55228</v>
      </c>
    </row>
    <row r="16" customFormat="false" ht="15" hidden="false" customHeight="false" outlineLevel="0" collapsed="false">
      <c r="A16" s="2" t="s">
        <v>7</v>
      </c>
      <c r="B16" s="2" t="n">
        <v>2023</v>
      </c>
      <c r="C16" s="2" t="s">
        <v>15</v>
      </c>
      <c r="D16" s="2" t="s">
        <v>11</v>
      </c>
      <c r="E16" s="2" t="n">
        <v>16</v>
      </c>
      <c r="F16" s="3" t="n">
        <v>90771</v>
      </c>
      <c r="G16" s="3" t="n">
        <v>22829</v>
      </c>
    </row>
    <row r="17" customFormat="false" ht="15" hidden="false" customHeight="false" outlineLevel="0" collapsed="false">
      <c r="A17" s="2" t="s">
        <v>7</v>
      </c>
      <c r="B17" s="2" t="n">
        <v>2023</v>
      </c>
      <c r="C17" s="2" t="s">
        <v>15</v>
      </c>
      <c r="D17" s="2" t="s">
        <v>12</v>
      </c>
      <c r="E17" s="2" t="n">
        <v>24</v>
      </c>
      <c r="F17" s="3" t="n">
        <v>201211</v>
      </c>
      <c r="G17" s="3" t="n">
        <v>43525</v>
      </c>
    </row>
    <row r="18" customFormat="false" ht="15" hidden="false" customHeight="false" outlineLevel="0" collapsed="false">
      <c r="A18" s="2" t="s">
        <v>16</v>
      </c>
      <c r="B18" s="2" t="n">
        <v>2023</v>
      </c>
      <c r="C18" s="2" t="s">
        <v>8</v>
      </c>
      <c r="D18" s="2" t="s">
        <v>9</v>
      </c>
      <c r="E18" s="2" t="n">
        <v>6</v>
      </c>
      <c r="F18" s="3" t="n">
        <v>467003</v>
      </c>
      <c r="G18" s="3" t="n">
        <v>13521</v>
      </c>
    </row>
    <row r="19" customFormat="false" ht="15" hidden="false" customHeight="false" outlineLevel="0" collapsed="false">
      <c r="A19" s="2" t="s">
        <v>16</v>
      </c>
      <c r="B19" s="2" t="n">
        <v>2023</v>
      </c>
      <c r="C19" s="2" t="s">
        <v>8</v>
      </c>
      <c r="D19" s="2" t="s">
        <v>10</v>
      </c>
      <c r="E19" s="2" t="n">
        <v>13</v>
      </c>
      <c r="F19" s="3" t="n">
        <v>900476</v>
      </c>
      <c r="G19" s="3" t="n">
        <v>18027</v>
      </c>
    </row>
    <row r="20" customFormat="false" ht="15" hidden="false" customHeight="false" outlineLevel="0" collapsed="false">
      <c r="A20" s="2" t="s">
        <v>16</v>
      </c>
      <c r="B20" s="2" t="n">
        <v>2023</v>
      </c>
      <c r="C20" s="2" t="s">
        <v>8</v>
      </c>
      <c r="D20" s="2" t="s">
        <v>11</v>
      </c>
      <c r="E20" s="2" t="n">
        <v>14</v>
      </c>
      <c r="F20" s="3" t="n">
        <v>1212624</v>
      </c>
      <c r="G20" s="3" t="n">
        <v>34876</v>
      </c>
    </row>
    <row r="21" customFormat="false" ht="15" hidden="false" customHeight="false" outlineLevel="0" collapsed="false">
      <c r="A21" s="2" t="s">
        <v>16</v>
      </c>
      <c r="B21" s="2" t="n">
        <v>2023</v>
      </c>
      <c r="C21" s="2" t="s">
        <v>8</v>
      </c>
      <c r="D21" s="2" t="s">
        <v>12</v>
      </c>
      <c r="E21" s="2" t="n">
        <v>25</v>
      </c>
      <c r="F21" s="3" t="n">
        <v>1104501</v>
      </c>
      <c r="G21" s="3" t="n">
        <v>-13083</v>
      </c>
    </row>
    <row r="22" customFormat="false" ht="15" hidden="false" customHeight="false" outlineLevel="0" collapsed="false">
      <c r="A22" s="2" t="s">
        <v>16</v>
      </c>
      <c r="B22" s="2" t="n">
        <v>2023</v>
      </c>
      <c r="C22" s="2" t="s">
        <v>13</v>
      </c>
      <c r="D22" s="2" t="s">
        <v>9</v>
      </c>
      <c r="E22" s="2" t="n">
        <v>6</v>
      </c>
      <c r="F22" s="3" t="n">
        <v>41238</v>
      </c>
      <c r="G22" s="3" t="n">
        <v>15521</v>
      </c>
    </row>
    <row r="23" customFormat="false" ht="15" hidden="false" customHeight="false" outlineLevel="0" collapsed="false">
      <c r="A23" s="2" t="s">
        <v>16</v>
      </c>
      <c r="B23" s="2" t="n">
        <v>2023</v>
      </c>
      <c r="C23" s="2" t="s">
        <v>13</v>
      </c>
      <c r="D23" s="2" t="s">
        <v>10</v>
      </c>
      <c r="E23" s="2" t="n">
        <v>15</v>
      </c>
      <c r="F23" s="3" t="n">
        <v>83190</v>
      </c>
      <c r="G23" s="3" t="n">
        <v>32696</v>
      </c>
    </row>
    <row r="24" customFormat="false" ht="15" hidden="false" customHeight="false" outlineLevel="0" collapsed="false">
      <c r="A24" s="2" t="s">
        <v>16</v>
      </c>
      <c r="B24" s="2" t="n">
        <v>2023</v>
      </c>
      <c r="C24" s="2" t="s">
        <v>13</v>
      </c>
      <c r="D24" s="2" t="s">
        <v>11</v>
      </c>
      <c r="E24" s="2" t="n">
        <v>20</v>
      </c>
      <c r="F24" s="3" t="n">
        <v>129428</v>
      </c>
      <c r="G24" s="3" t="n">
        <v>47189</v>
      </c>
    </row>
    <row r="25" customFormat="false" ht="15" hidden="false" customHeight="false" outlineLevel="0" collapsed="false">
      <c r="A25" s="2" t="s">
        <v>16</v>
      </c>
      <c r="B25" s="2" t="n">
        <v>2023</v>
      </c>
      <c r="C25" s="2" t="s">
        <v>13</v>
      </c>
      <c r="D25" s="2" t="s">
        <v>12</v>
      </c>
      <c r="E25" s="2" t="n">
        <v>20</v>
      </c>
      <c r="F25" s="3" t="n">
        <v>134097</v>
      </c>
      <c r="G25" s="3" t="n">
        <v>49106</v>
      </c>
    </row>
    <row r="26" customFormat="false" ht="15" hidden="false" customHeight="false" outlineLevel="0" collapsed="false">
      <c r="A26" s="2" t="s">
        <v>16</v>
      </c>
      <c r="B26" s="2" t="n">
        <v>2023</v>
      </c>
      <c r="C26" s="2" t="s">
        <v>14</v>
      </c>
      <c r="D26" s="2" t="s">
        <v>9</v>
      </c>
      <c r="E26" s="2" t="n">
        <v>8</v>
      </c>
      <c r="F26" s="3" t="n">
        <v>2792</v>
      </c>
      <c r="G26" s="3" t="n">
        <v>270</v>
      </c>
    </row>
    <row r="27" customFormat="false" ht="15" hidden="false" customHeight="false" outlineLevel="0" collapsed="false">
      <c r="A27" s="2" t="s">
        <v>16</v>
      </c>
      <c r="B27" s="2" t="n">
        <v>2023</v>
      </c>
      <c r="C27" s="2" t="s">
        <v>14</v>
      </c>
      <c r="D27" s="2" t="s">
        <v>10</v>
      </c>
      <c r="E27" s="2" t="n">
        <v>13</v>
      </c>
      <c r="F27" s="3" t="n">
        <v>6914</v>
      </c>
      <c r="G27" s="3" t="n">
        <v>741</v>
      </c>
    </row>
    <row r="28" customFormat="false" ht="15" hidden="false" customHeight="false" outlineLevel="0" collapsed="false">
      <c r="A28" s="2" t="s">
        <v>16</v>
      </c>
      <c r="B28" s="2" t="n">
        <v>2023</v>
      </c>
      <c r="C28" s="2" t="s">
        <v>14</v>
      </c>
      <c r="D28" s="2" t="s">
        <v>11</v>
      </c>
      <c r="E28" s="2" t="n">
        <v>16</v>
      </c>
      <c r="F28" s="3" t="n">
        <v>5831</v>
      </c>
      <c r="G28" s="3" t="n">
        <v>476</v>
      </c>
    </row>
    <row r="29" customFormat="false" ht="15" hidden="false" customHeight="false" outlineLevel="0" collapsed="false">
      <c r="A29" s="2" t="s">
        <v>16</v>
      </c>
      <c r="B29" s="2" t="n">
        <v>2023</v>
      </c>
      <c r="C29" s="2" t="s">
        <v>14</v>
      </c>
      <c r="D29" s="2" t="s">
        <v>12</v>
      </c>
      <c r="E29" s="2" t="n">
        <v>18</v>
      </c>
      <c r="F29" s="3" t="n">
        <v>8374</v>
      </c>
      <c r="G29" s="3" t="n">
        <v>841</v>
      </c>
    </row>
    <row r="30" customFormat="false" ht="15" hidden="false" customHeight="false" outlineLevel="0" collapsed="false">
      <c r="A30" s="2" t="s">
        <v>16</v>
      </c>
      <c r="B30" s="2" t="n">
        <v>2023</v>
      </c>
      <c r="C30" s="2" t="s">
        <v>15</v>
      </c>
      <c r="D30" s="2" t="s">
        <v>9</v>
      </c>
      <c r="E30" s="2" t="n">
        <v>11</v>
      </c>
      <c r="F30" s="3" t="n">
        <v>104980</v>
      </c>
      <c r="G30" s="3" t="n">
        <v>26955</v>
      </c>
    </row>
    <row r="31" customFormat="false" ht="15" hidden="false" customHeight="false" outlineLevel="0" collapsed="false">
      <c r="A31" s="2" t="s">
        <v>16</v>
      </c>
      <c r="B31" s="2" t="n">
        <v>2023</v>
      </c>
      <c r="C31" s="2" t="s">
        <v>15</v>
      </c>
      <c r="D31" s="2" t="s">
        <v>10</v>
      </c>
      <c r="E31" s="2" t="n">
        <v>13</v>
      </c>
      <c r="F31" s="3" t="n">
        <v>260838</v>
      </c>
      <c r="G31" s="3" t="n">
        <v>66591</v>
      </c>
    </row>
    <row r="32" customFormat="false" ht="15" hidden="false" customHeight="false" outlineLevel="0" collapsed="false">
      <c r="A32" s="2" t="s">
        <v>16</v>
      </c>
      <c r="B32" s="2" t="n">
        <v>2023</v>
      </c>
      <c r="C32" s="2" t="s">
        <v>15</v>
      </c>
      <c r="D32" s="2" t="s">
        <v>11</v>
      </c>
      <c r="E32" s="2" t="n">
        <v>19</v>
      </c>
      <c r="F32" s="3" t="n">
        <v>79798</v>
      </c>
      <c r="G32" s="3" t="n">
        <v>22399</v>
      </c>
    </row>
    <row r="33" customFormat="false" ht="15" hidden="false" customHeight="false" outlineLevel="0" collapsed="false">
      <c r="A33" s="2" t="s">
        <v>16</v>
      </c>
      <c r="B33" s="2" t="n">
        <v>2023</v>
      </c>
      <c r="C33" s="2" t="s">
        <v>15</v>
      </c>
      <c r="D33" s="2" t="s">
        <v>12</v>
      </c>
      <c r="E33" s="2" t="n">
        <v>30</v>
      </c>
      <c r="F33" s="3" t="n">
        <v>414342</v>
      </c>
      <c r="G33" s="3" t="n">
        <v>96462</v>
      </c>
    </row>
    <row r="34" customFormat="false" ht="15" hidden="false" customHeight="false" outlineLevel="0" collapsed="false">
      <c r="A34" s="2" t="s">
        <v>17</v>
      </c>
      <c r="B34" s="2" t="n">
        <v>2023</v>
      </c>
      <c r="C34" s="2" t="s">
        <v>8</v>
      </c>
      <c r="D34" s="2" t="s">
        <v>9</v>
      </c>
      <c r="E34" s="2" t="n">
        <v>9</v>
      </c>
      <c r="F34" s="3" t="n">
        <v>421655</v>
      </c>
      <c r="G34" s="3" t="n">
        <v>29491</v>
      </c>
    </row>
    <row r="35" customFormat="false" ht="15" hidden="false" customHeight="false" outlineLevel="0" collapsed="false">
      <c r="A35" s="2" t="s">
        <v>17</v>
      </c>
      <c r="B35" s="2" t="n">
        <v>2023</v>
      </c>
      <c r="C35" s="2" t="s">
        <v>8</v>
      </c>
      <c r="D35" s="2" t="s">
        <v>10</v>
      </c>
      <c r="E35" s="2" t="n">
        <v>15</v>
      </c>
      <c r="F35" s="3" t="n">
        <v>591869</v>
      </c>
      <c r="G35" s="3" t="n">
        <v>27379</v>
      </c>
    </row>
    <row r="36" customFormat="false" ht="15" hidden="false" customHeight="false" outlineLevel="0" collapsed="false">
      <c r="A36" s="2" t="s">
        <v>17</v>
      </c>
      <c r="B36" s="2" t="n">
        <v>2023</v>
      </c>
      <c r="C36" s="2" t="s">
        <v>8</v>
      </c>
      <c r="D36" s="2" t="s">
        <v>11</v>
      </c>
      <c r="E36" s="2" t="n">
        <v>22</v>
      </c>
      <c r="F36" s="3" t="n">
        <v>1544936</v>
      </c>
      <c r="G36" s="3" t="n">
        <v>94598</v>
      </c>
    </row>
    <row r="37" customFormat="false" ht="15" hidden="false" customHeight="false" outlineLevel="0" collapsed="false">
      <c r="A37" s="2" t="s">
        <v>17</v>
      </c>
      <c r="B37" s="2" t="n">
        <v>2023</v>
      </c>
      <c r="C37" s="2" t="s">
        <v>8</v>
      </c>
      <c r="D37" s="2" t="s">
        <v>12</v>
      </c>
      <c r="E37" s="2" t="n">
        <v>23</v>
      </c>
      <c r="F37" s="3" t="n">
        <v>1838407</v>
      </c>
      <c r="G37" s="3" t="n">
        <v>142969</v>
      </c>
    </row>
    <row r="38" customFormat="false" ht="15" hidden="false" customHeight="false" outlineLevel="0" collapsed="false">
      <c r="A38" s="2" t="s">
        <v>17</v>
      </c>
      <c r="B38" s="2" t="n">
        <v>2023</v>
      </c>
      <c r="C38" s="2" t="s">
        <v>13</v>
      </c>
      <c r="D38" s="2" t="s">
        <v>9</v>
      </c>
      <c r="E38" s="2" t="n">
        <v>11</v>
      </c>
      <c r="F38" s="3" t="n">
        <v>54377</v>
      </c>
      <c r="G38" s="3" t="n">
        <v>22206</v>
      </c>
    </row>
    <row r="39" customFormat="false" ht="15" hidden="false" customHeight="false" outlineLevel="0" collapsed="false">
      <c r="A39" s="2" t="s">
        <v>17</v>
      </c>
      <c r="B39" s="2" t="n">
        <v>2023</v>
      </c>
      <c r="C39" s="2" t="s">
        <v>13</v>
      </c>
      <c r="D39" s="2" t="s">
        <v>10</v>
      </c>
      <c r="E39" s="2" t="n">
        <v>11</v>
      </c>
      <c r="F39" s="3" t="n">
        <v>62269</v>
      </c>
      <c r="G39" s="3" t="n">
        <v>27554</v>
      </c>
    </row>
    <row r="40" customFormat="false" ht="15" hidden="false" customHeight="false" outlineLevel="0" collapsed="false">
      <c r="A40" s="2" t="s">
        <v>17</v>
      </c>
      <c r="B40" s="2" t="n">
        <v>2023</v>
      </c>
      <c r="C40" s="2" t="s">
        <v>13</v>
      </c>
      <c r="D40" s="2" t="s">
        <v>11</v>
      </c>
      <c r="E40" s="2" t="n">
        <v>21</v>
      </c>
      <c r="F40" s="3" t="n">
        <v>115545</v>
      </c>
      <c r="G40" s="3" t="n">
        <v>47719</v>
      </c>
    </row>
    <row r="41" customFormat="false" ht="15" hidden="false" customHeight="false" outlineLevel="0" collapsed="false">
      <c r="A41" s="2" t="s">
        <v>17</v>
      </c>
      <c r="B41" s="2" t="n">
        <v>2023</v>
      </c>
      <c r="C41" s="2" t="s">
        <v>13</v>
      </c>
      <c r="D41" s="2" t="s">
        <v>12</v>
      </c>
      <c r="E41" s="2" t="n">
        <v>23</v>
      </c>
      <c r="F41" s="3" t="n">
        <v>125446</v>
      </c>
      <c r="G41" s="3" t="n">
        <v>49466</v>
      </c>
    </row>
    <row r="42" customFormat="false" ht="15" hidden="false" customHeight="false" outlineLevel="0" collapsed="false">
      <c r="A42" s="2" t="s">
        <v>17</v>
      </c>
      <c r="B42" s="2" t="n">
        <v>2023</v>
      </c>
      <c r="C42" s="2" t="s">
        <v>14</v>
      </c>
      <c r="D42" s="2" t="s">
        <v>9</v>
      </c>
      <c r="E42" s="2" t="n">
        <v>8</v>
      </c>
      <c r="F42" s="3" t="n">
        <v>4224</v>
      </c>
      <c r="G42" s="3" t="n">
        <v>414</v>
      </c>
    </row>
    <row r="43" customFormat="false" ht="15" hidden="false" customHeight="false" outlineLevel="0" collapsed="false">
      <c r="A43" s="2" t="s">
        <v>17</v>
      </c>
      <c r="B43" s="2" t="n">
        <v>2023</v>
      </c>
      <c r="C43" s="2" t="s">
        <v>14</v>
      </c>
      <c r="D43" s="2" t="s">
        <v>10</v>
      </c>
      <c r="E43" s="2" t="n">
        <v>16</v>
      </c>
      <c r="F43" s="3" t="n">
        <v>6228</v>
      </c>
      <c r="G43" s="3" t="n">
        <v>590</v>
      </c>
    </row>
    <row r="44" customFormat="false" ht="15" hidden="false" customHeight="false" outlineLevel="0" collapsed="false">
      <c r="A44" s="2" t="s">
        <v>17</v>
      </c>
      <c r="B44" s="2" t="n">
        <v>2023</v>
      </c>
      <c r="C44" s="2" t="s">
        <v>14</v>
      </c>
      <c r="D44" s="2" t="s">
        <v>11</v>
      </c>
      <c r="E44" s="2" t="n">
        <v>27</v>
      </c>
      <c r="F44" s="3" t="n">
        <v>9711</v>
      </c>
      <c r="G44" s="3" t="n">
        <v>563</v>
      </c>
    </row>
    <row r="45" customFormat="false" ht="15" hidden="false" customHeight="false" outlineLevel="0" collapsed="false">
      <c r="A45" s="2" t="s">
        <v>17</v>
      </c>
      <c r="B45" s="2" t="n">
        <v>2023</v>
      </c>
      <c r="C45" s="2" t="s">
        <v>14</v>
      </c>
      <c r="D45" s="2" t="s">
        <v>12</v>
      </c>
      <c r="E45" s="2" t="n">
        <v>27</v>
      </c>
      <c r="F45" s="3" t="n">
        <v>11734</v>
      </c>
      <c r="G45" s="3" t="n">
        <v>1562</v>
      </c>
    </row>
    <row r="46" customFormat="false" ht="15" hidden="false" customHeight="false" outlineLevel="0" collapsed="false">
      <c r="A46" s="2" t="s">
        <v>17</v>
      </c>
      <c r="B46" s="2" t="n">
        <v>2023</v>
      </c>
      <c r="C46" s="2" t="s">
        <v>15</v>
      </c>
      <c r="D46" s="2" t="s">
        <v>9</v>
      </c>
      <c r="E46" s="2" t="n">
        <v>9</v>
      </c>
      <c r="F46" s="3" t="n">
        <v>184720</v>
      </c>
      <c r="G46" s="3" t="n">
        <v>49896</v>
      </c>
    </row>
    <row r="47" customFormat="false" ht="15" hidden="false" customHeight="false" outlineLevel="0" collapsed="false">
      <c r="A47" s="2" t="s">
        <v>17</v>
      </c>
      <c r="B47" s="2" t="n">
        <v>2023</v>
      </c>
      <c r="C47" s="2" t="s">
        <v>15</v>
      </c>
      <c r="D47" s="2" t="s">
        <v>10</v>
      </c>
      <c r="E47" s="2" t="n">
        <v>13</v>
      </c>
      <c r="F47" s="3" t="n">
        <v>102039</v>
      </c>
      <c r="G47" s="3" t="n">
        <v>18460</v>
      </c>
    </row>
    <row r="48" customFormat="false" ht="15" hidden="false" customHeight="false" outlineLevel="0" collapsed="false">
      <c r="A48" s="2" t="s">
        <v>17</v>
      </c>
      <c r="B48" s="2" t="n">
        <v>2023</v>
      </c>
      <c r="C48" s="2" t="s">
        <v>15</v>
      </c>
      <c r="D48" s="2" t="s">
        <v>11</v>
      </c>
      <c r="E48" s="2" t="n">
        <v>28</v>
      </c>
      <c r="F48" s="3" t="n">
        <v>641315</v>
      </c>
      <c r="G48" s="3" t="n">
        <v>136485</v>
      </c>
    </row>
    <row r="49" customFormat="false" ht="15" hidden="false" customHeight="false" outlineLevel="0" collapsed="false">
      <c r="A49" s="2" t="s">
        <v>17</v>
      </c>
      <c r="B49" s="2" t="n">
        <v>2023</v>
      </c>
      <c r="C49" s="2" t="s">
        <v>15</v>
      </c>
      <c r="D49" s="2" t="s">
        <v>12</v>
      </c>
      <c r="E49" s="2" t="n">
        <v>23</v>
      </c>
      <c r="F49" s="3" t="n">
        <v>319431</v>
      </c>
      <c r="G49" s="3" t="n">
        <v>73236</v>
      </c>
    </row>
    <row r="50" customFormat="false" ht="15" hidden="false" customHeight="false" outlineLevel="0" collapsed="false">
      <c r="A50" s="2" t="s">
        <v>18</v>
      </c>
      <c r="B50" s="2" t="n">
        <v>2023</v>
      </c>
      <c r="C50" s="2" t="s">
        <v>8</v>
      </c>
      <c r="D50" s="2" t="s">
        <v>9</v>
      </c>
      <c r="E50" s="2" t="n">
        <v>6</v>
      </c>
      <c r="F50" s="3" t="n">
        <v>269807</v>
      </c>
      <c r="G50" s="3" t="n">
        <v>8315</v>
      </c>
    </row>
    <row r="51" customFormat="false" ht="15" hidden="false" customHeight="false" outlineLevel="0" collapsed="false">
      <c r="A51" s="2" t="s">
        <v>18</v>
      </c>
      <c r="B51" s="2" t="n">
        <v>2023</v>
      </c>
      <c r="C51" s="2" t="s">
        <v>8</v>
      </c>
      <c r="D51" s="2" t="s">
        <v>10</v>
      </c>
      <c r="E51" s="2" t="n">
        <v>13</v>
      </c>
      <c r="F51" s="3" t="n">
        <v>477716</v>
      </c>
      <c r="G51" s="3" t="n">
        <v>22116</v>
      </c>
    </row>
    <row r="52" customFormat="false" ht="15" hidden="false" customHeight="false" outlineLevel="0" collapsed="false">
      <c r="A52" s="2" t="s">
        <v>18</v>
      </c>
      <c r="B52" s="2" t="n">
        <v>2023</v>
      </c>
      <c r="C52" s="2" t="s">
        <v>8</v>
      </c>
      <c r="D52" s="2" t="s">
        <v>11</v>
      </c>
      <c r="E52" s="2" t="n">
        <v>26</v>
      </c>
      <c r="F52" s="3" t="n">
        <v>2153815</v>
      </c>
      <c r="G52" s="3" t="n">
        <v>83916</v>
      </c>
    </row>
    <row r="53" customFormat="false" ht="15" hidden="false" customHeight="false" outlineLevel="0" collapsed="false">
      <c r="A53" s="2" t="s">
        <v>18</v>
      </c>
      <c r="B53" s="2" t="n">
        <v>2023</v>
      </c>
      <c r="C53" s="2" t="s">
        <v>8</v>
      </c>
      <c r="D53" s="2" t="s">
        <v>12</v>
      </c>
      <c r="E53" s="2" t="n">
        <v>28</v>
      </c>
      <c r="F53" s="3" t="n">
        <v>2311538</v>
      </c>
      <c r="G53" s="3" t="n">
        <v>86477</v>
      </c>
    </row>
    <row r="54" customFormat="false" ht="15" hidden="false" customHeight="false" outlineLevel="0" collapsed="false">
      <c r="A54" s="2" t="s">
        <v>18</v>
      </c>
      <c r="B54" s="2" t="n">
        <v>2023</v>
      </c>
      <c r="C54" s="2" t="s">
        <v>13</v>
      </c>
      <c r="D54" s="2" t="s">
        <v>9</v>
      </c>
      <c r="E54" s="2" t="n">
        <v>11</v>
      </c>
      <c r="F54" s="3" t="n">
        <v>39012</v>
      </c>
      <c r="G54" s="3" t="n">
        <v>14940</v>
      </c>
    </row>
    <row r="55" customFormat="false" ht="15" hidden="false" customHeight="false" outlineLevel="0" collapsed="false">
      <c r="A55" s="2" t="s">
        <v>18</v>
      </c>
      <c r="B55" s="2" t="n">
        <v>2023</v>
      </c>
      <c r="C55" s="2" t="s">
        <v>13</v>
      </c>
      <c r="D55" s="2" t="s">
        <v>10</v>
      </c>
      <c r="E55" s="2" t="n">
        <v>26</v>
      </c>
      <c r="F55" s="3" t="n">
        <v>123770</v>
      </c>
      <c r="G55" s="3" t="n">
        <v>48353</v>
      </c>
    </row>
    <row r="56" customFormat="false" ht="15" hidden="false" customHeight="false" outlineLevel="0" collapsed="false">
      <c r="A56" s="2" t="s">
        <v>18</v>
      </c>
      <c r="B56" s="2" t="n">
        <v>2023</v>
      </c>
      <c r="C56" s="2" t="s">
        <v>13</v>
      </c>
      <c r="D56" s="2" t="s">
        <v>11</v>
      </c>
      <c r="E56" s="2" t="n">
        <v>26</v>
      </c>
      <c r="F56" s="3" t="n">
        <v>121989</v>
      </c>
      <c r="G56" s="3" t="n">
        <v>50451</v>
      </c>
    </row>
    <row r="57" customFormat="false" ht="15" hidden="false" customHeight="false" outlineLevel="0" collapsed="false">
      <c r="A57" s="2" t="s">
        <v>18</v>
      </c>
      <c r="B57" s="2" t="n">
        <v>2023</v>
      </c>
      <c r="C57" s="2" t="s">
        <v>13</v>
      </c>
      <c r="D57" s="2" t="s">
        <v>12</v>
      </c>
      <c r="E57" s="2" t="n">
        <v>32</v>
      </c>
      <c r="F57" s="3" t="n">
        <v>189129</v>
      </c>
      <c r="G57" s="3" t="n">
        <v>75424</v>
      </c>
    </row>
    <row r="58" customFormat="false" ht="15" hidden="false" customHeight="false" outlineLevel="0" collapsed="false">
      <c r="A58" s="2" t="s">
        <v>18</v>
      </c>
      <c r="B58" s="2" t="n">
        <v>2023</v>
      </c>
      <c r="C58" s="2" t="s">
        <v>14</v>
      </c>
      <c r="D58" s="2" t="s">
        <v>9</v>
      </c>
      <c r="E58" s="2" t="n">
        <v>10</v>
      </c>
      <c r="F58" s="3" t="n">
        <v>4238</v>
      </c>
      <c r="G58" s="3" t="n">
        <v>240</v>
      </c>
    </row>
    <row r="59" customFormat="false" ht="15" hidden="false" customHeight="false" outlineLevel="0" collapsed="false">
      <c r="A59" s="2" t="s">
        <v>18</v>
      </c>
      <c r="B59" s="2" t="n">
        <v>2023</v>
      </c>
      <c r="C59" s="2" t="s">
        <v>14</v>
      </c>
      <c r="D59" s="2" t="s">
        <v>10</v>
      </c>
      <c r="E59" s="2" t="n">
        <v>21</v>
      </c>
      <c r="F59" s="3" t="n">
        <v>7861</v>
      </c>
      <c r="G59" s="3" t="n">
        <v>289</v>
      </c>
    </row>
    <row r="60" customFormat="false" ht="15" hidden="false" customHeight="false" outlineLevel="0" collapsed="false">
      <c r="A60" s="2" t="s">
        <v>18</v>
      </c>
      <c r="B60" s="2" t="n">
        <v>2023</v>
      </c>
      <c r="C60" s="2" t="s">
        <v>14</v>
      </c>
      <c r="D60" s="2" t="s">
        <v>11</v>
      </c>
      <c r="E60" s="2" t="n">
        <v>22</v>
      </c>
      <c r="F60" s="3" t="n">
        <v>12298</v>
      </c>
      <c r="G60" s="3" t="n">
        <v>405</v>
      </c>
    </row>
    <row r="61" customFormat="false" ht="15" hidden="false" customHeight="false" outlineLevel="0" collapsed="false">
      <c r="A61" s="2" t="s">
        <v>18</v>
      </c>
      <c r="B61" s="2" t="n">
        <v>2023</v>
      </c>
      <c r="C61" s="2" t="s">
        <v>14</v>
      </c>
      <c r="D61" s="2" t="s">
        <v>12</v>
      </c>
      <c r="E61" s="2" t="n">
        <v>33</v>
      </c>
      <c r="F61" s="3" t="n">
        <v>17483</v>
      </c>
      <c r="G61" s="3" t="n">
        <v>1630</v>
      </c>
    </row>
    <row r="62" customFormat="false" ht="15" hidden="false" customHeight="false" outlineLevel="0" collapsed="false">
      <c r="A62" s="2" t="s">
        <v>18</v>
      </c>
      <c r="B62" s="2" t="n">
        <v>2023</v>
      </c>
      <c r="C62" s="2" t="s">
        <v>15</v>
      </c>
      <c r="D62" s="2" t="s">
        <v>9</v>
      </c>
      <c r="E62" s="2" t="n">
        <v>15</v>
      </c>
      <c r="F62" s="3" t="n">
        <v>369792</v>
      </c>
      <c r="G62" s="3" t="n">
        <v>56270</v>
      </c>
    </row>
    <row r="63" customFormat="false" ht="15" hidden="false" customHeight="false" outlineLevel="0" collapsed="false">
      <c r="A63" s="2" t="s">
        <v>18</v>
      </c>
      <c r="B63" s="2" t="n">
        <v>2023</v>
      </c>
      <c r="C63" s="2" t="s">
        <v>15</v>
      </c>
      <c r="D63" s="2" t="s">
        <v>10</v>
      </c>
      <c r="E63" s="2" t="n">
        <v>18</v>
      </c>
      <c r="F63" s="3" t="n">
        <v>180798</v>
      </c>
      <c r="G63" s="3" t="n">
        <v>37462</v>
      </c>
    </row>
    <row r="64" customFormat="false" ht="15" hidden="false" customHeight="false" outlineLevel="0" collapsed="false">
      <c r="A64" s="2" t="s">
        <v>18</v>
      </c>
      <c r="B64" s="2" t="n">
        <v>2023</v>
      </c>
      <c r="C64" s="2" t="s">
        <v>15</v>
      </c>
      <c r="D64" s="2" t="s">
        <v>11</v>
      </c>
      <c r="E64" s="2" t="n">
        <v>26</v>
      </c>
      <c r="F64" s="3" t="n">
        <v>495553</v>
      </c>
      <c r="G64" s="3" t="n">
        <v>121424</v>
      </c>
    </row>
    <row r="65" customFormat="false" ht="15" hidden="false" customHeight="false" outlineLevel="0" collapsed="false">
      <c r="A65" s="2" t="s">
        <v>18</v>
      </c>
      <c r="B65" s="2" t="n">
        <v>2023</v>
      </c>
      <c r="C65" s="2" t="s">
        <v>15</v>
      </c>
      <c r="D65" s="2" t="s">
        <v>12</v>
      </c>
      <c r="E65" s="2" t="n">
        <v>23</v>
      </c>
      <c r="F65" s="3" t="n">
        <v>235840</v>
      </c>
      <c r="G65" s="3" t="n">
        <v>52058</v>
      </c>
    </row>
    <row r="66" customFormat="false" ht="15" hidden="false" customHeight="false" outlineLevel="0" collapsed="false">
      <c r="A66" s="2" t="s">
        <v>19</v>
      </c>
      <c r="B66" s="2" t="n">
        <v>2023</v>
      </c>
      <c r="C66" s="2" t="s">
        <v>8</v>
      </c>
      <c r="D66" s="2" t="s">
        <v>9</v>
      </c>
      <c r="E66" s="2" t="n">
        <v>7</v>
      </c>
      <c r="F66" s="3" t="n">
        <v>379680</v>
      </c>
      <c r="G66" s="3" t="n">
        <v>37951</v>
      </c>
    </row>
    <row r="67" customFormat="false" ht="15" hidden="false" customHeight="false" outlineLevel="0" collapsed="false">
      <c r="A67" s="2" t="s">
        <v>19</v>
      </c>
      <c r="B67" s="2" t="n">
        <v>2023</v>
      </c>
      <c r="C67" s="2" t="s">
        <v>8</v>
      </c>
      <c r="D67" s="2" t="s">
        <v>10</v>
      </c>
      <c r="E67" s="2" t="n">
        <v>13</v>
      </c>
      <c r="F67" s="3" t="n">
        <v>1059913</v>
      </c>
      <c r="G67" s="3" t="n">
        <v>3043</v>
      </c>
    </row>
    <row r="68" customFormat="false" ht="15" hidden="false" customHeight="false" outlineLevel="0" collapsed="false">
      <c r="A68" s="2" t="s">
        <v>19</v>
      </c>
      <c r="B68" s="2" t="n">
        <v>2023</v>
      </c>
      <c r="C68" s="2" t="s">
        <v>8</v>
      </c>
      <c r="D68" s="2" t="s">
        <v>11</v>
      </c>
      <c r="E68" s="2" t="n">
        <v>37</v>
      </c>
      <c r="F68" s="3" t="n">
        <v>2468414</v>
      </c>
      <c r="G68" s="3" t="n">
        <v>102847</v>
      </c>
    </row>
    <row r="69" customFormat="false" ht="15" hidden="false" customHeight="false" outlineLevel="0" collapsed="false">
      <c r="A69" s="2" t="s">
        <v>19</v>
      </c>
      <c r="B69" s="2" t="n">
        <v>2023</v>
      </c>
      <c r="C69" s="2" t="s">
        <v>8</v>
      </c>
      <c r="D69" s="2" t="s">
        <v>12</v>
      </c>
      <c r="E69" s="2" t="n">
        <v>32</v>
      </c>
      <c r="F69" s="3" t="n">
        <v>1824786</v>
      </c>
      <c r="G69" s="3" t="n">
        <v>16306</v>
      </c>
    </row>
    <row r="70" customFormat="false" ht="15" hidden="false" customHeight="false" outlineLevel="0" collapsed="false">
      <c r="A70" s="2" t="s">
        <v>19</v>
      </c>
      <c r="B70" s="2" t="n">
        <v>2023</v>
      </c>
      <c r="C70" s="2" t="s">
        <v>13</v>
      </c>
      <c r="D70" s="2" t="s">
        <v>9</v>
      </c>
      <c r="E70" s="2" t="n">
        <v>13</v>
      </c>
      <c r="F70" s="3" t="n">
        <v>70870</v>
      </c>
      <c r="G70" s="3" t="n">
        <v>29156</v>
      </c>
    </row>
    <row r="71" customFormat="false" ht="15" hidden="false" customHeight="false" outlineLevel="0" collapsed="false">
      <c r="A71" s="2" t="s">
        <v>19</v>
      </c>
      <c r="B71" s="2" t="n">
        <v>2023</v>
      </c>
      <c r="C71" s="2" t="s">
        <v>13</v>
      </c>
      <c r="D71" s="2" t="s">
        <v>10</v>
      </c>
      <c r="E71" s="2" t="n">
        <v>23</v>
      </c>
      <c r="F71" s="3" t="n">
        <v>160836</v>
      </c>
      <c r="G71" s="3" t="n">
        <v>64955</v>
      </c>
    </row>
    <row r="72" customFormat="false" ht="15" hidden="false" customHeight="false" outlineLevel="0" collapsed="false">
      <c r="A72" s="2" t="s">
        <v>19</v>
      </c>
      <c r="B72" s="2" t="n">
        <v>2023</v>
      </c>
      <c r="C72" s="2" t="s">
        <v>13</v>
      </c>
      <c r="D72" s="2" t="s">
        <v>11</v>
      </c>
      <c r="E72" s="2" t="n">
        <v>24</v>
      </c>
      <c r="F72" s="3" t="n">
        <v>129953</v>
      </c>
      <c r="G72" s="3" t="n">
        <v>55666</v>
      </c>
    </row>
    <row r="73" customFormat="false" ht="15" hidden="false" customHeight="false" outlineLevel="0" collapsed="false">
      <c r="A73" s="2" t="s">
        <v>19</v>
      </c>
      <c r="B73" s="2" t="n">
        <v>2023</v>
      </c>
      <c r="C73" s="2" t="s">
        <v>13</v>
      </c>
      <c r="D73" s="2" t="s">
        <v>12</v>
      </c>
      <c r="E73" s="2" t="n">
        <v>35</v>
      </c>
      <c r="F73" s="3" t="n">
        <v>204128</v>
      </c>
      <c r="G73" s="3" t="n">
        <v>83658</v>
      </c>
    </row>
    <row r="74" customFormat="false" ht="15" hidden="false" customHeight="false" outlineLevel="0" collapsed="false">
      <c r="A74" s="2" t="s">
        <v>19</v>
      </c>
      <c r="B74" s="2" t="n">
        <v>2023</v>
      </c>
      <c r="C74" s="2" t="s">
        <v>14</v>
      </c>
      <c r="D74" s="2" t="s">
        <v>9</v>
      </c>
      <c r="E74" s="2" t="n">
        <v>12</v>
      </c>
      <c r="F74" s="3" t="n">
        <v>7035</v>
      </c>
      <c r="G74" s="3" t="n">
        <v>901</v>
      </c>
    </row>
    <row r="75" customFormat="false" ht="15" hidden="false" customHeight="false" outlineLevel="0" collapsed="false">
      <c r="A75" s="2" t="s">
        <v>19</v>
      </c>
      <c r="B75" s="2" t="n">
        <v>2023</v>
      </c>
      <c r="C75" s="2" t="s">
        <v>14</v>
      </c>
      <c r="D75" s="2" t="s">
        <v>10</v>
      </c>
      <c r="E75" s="2" t="n">
        <v>19</v>
      </c>
      <c r="F75" s="3" t="n">
        <v>9354</v>
      </c>
      <c r="G75" s="3" t="n">
        <v>1156</v>
      </c>
    </row>
    <row r="76" customFormat="false" ht="15" hidden="false" customHeight="false" outlineLevel="0" collapsed="false">
      <c r="A76" s="2" t="s">
        <v>19</v>
      </c>
      <c r="B76" s="2" t="n">
        <v>2023</v>
      </c>
      <c r="C76" s="2" t="s">
        <v>14</v>
      </c>
      <c r="D76" s="2" t="s">
        <v>11</v>
      </c>
      <c r="E76" s="2" t="n">
        <v>38</v>
      </c>
      <c r="F76" s="3" t="n">
        <v>20472</v>
      </c>
      <c r="G76" s="3" t="n">
        <v>2392</v>
      </c>
    </row>
    <row r="77" customFormat="false" ht="15" hidden="false" customHeight="false" outlineLevel="0" collapsed="false">
      <c r="A77" s="2" t="s">
        <v>19</v>
      </c>
      <c r="B77" s="2" t="n">
        <v>2023</v>
      </c>
      <c r="C77" s="2" t="s">
        <v>14</v>
      </c>
      <c r="D77" s="2" t="s">
        <v>12</v>
      </c>
      <c r="E77" s="2" t="n">
        <v>30</v>
      </c>
      <c r="F77" s="3" t="n">
        <v>14163</v>
      </c>
      <c r="G77" s="3" t="n">
        <v>1122</v>
      </c>
    </row>
    <row r="78" customFormat="false" ht="15" hidden="false" customHeight="false" outlineLevel="0" collapsed="false">
      <c r="A78" s="2" t="s">
        <v>19</v>
      </c>
      <c r="B78" s="2" t="n">
        <v>2023</v>
      </c>
      <c r="C78" s="2" t="s">
        <v>15</v>
      </c>
      <c r="D78" s="2" t="s">
        <v>9</v>
      </c>
      <c r="E78" s="2" t="n">
        <v>8</v>
      </c>
      <c r="F78" s="3" t="n">
        <v>332947</v>
      </c>
      <c r="G78" s="3" t="n">
        <v>81229</v>
      </c>
    </row>
    <row r="79" customFormat="false" ht="15" hidden="false" customHeight="false" outlineLevel="0" collapsed="false">
      <c r="A79" s="2" t="s">
        <v>19</v>
      </c>
      <c r="B79" s="2" t="n">
        <v>2023</v>
      </c>
      <c r="C79" s="2" t="s">
        <v>15</v>
      </c>
      <c r="D79" s="2" t="s">
        <v>10</v>
      </c>
      <c r="E79" s="2" t="n">
        <v>22</v>
      </c>
      <c r="F79" s="3" t="n">
        <v>581343</v>
      </c>
      <c r="G79" s="3" t="n">
        <v>143550</v>
      </c>
    </row>
    <row r="80" customFormat="false" ht="15" hidden="false" customHeight="false" outlineLevel="0" collapsed="false">
      <c r="A80" s="2" t="s">
        <v>19</v>
      </c>
      <c r="B80" s="2" t="n">
        <v>2023</v>
      </c>
      <c r="C80" s="2" t="s">
        <v>15</v>
      </c>
      <c r="D80" s="2" t="s">
        <v>11</v>
      </c>
      <c r="E80" s="2" t="n">
        <v>41</v>
      </c>
      <c r="F80" s="3" t="n">
        <v>635069</v>
      </c>
      <c r="G80" s="3" t="n">
        <v>154752</v>
      </c>
    </row>
    <row r="81" customFormat="false" ht="15" hidden="false" customHeight="false" outlineLevel="0" collapsed="false">
      <c r="A81" s="2" t="s">
        <v>19</v>
      </c>
      <c r="B81" s="2" t="n">
        <v>2023</v>
      </c>
      <c r="C81" s="2" t="s">
        <v>15</v>
      </c>
      <c r="D81" s="2" t="s">
        <v>12</v>
      </c>
      <c r="E81" s="2" t="n">
        <v>39</v>
      </c>
      <c r="F81" s="3" t="n">
        <v>588494</v>
      </c>
      <c r="G81" s="3" t="n">
        <v>128152</v>
      </c>
    </row>
    <row r="82" customFormat="false" ht="15" hidden="false" customHeight="false" outlineLevel="0" collapsed="false">
      <c r="A82" s="2" t="s">
        <v>20</v>
      </c>
      <c r="B82" s="2" t="n">
        <v>2023</v>
      </c>
      <c r="C82" s="2" t="s">
        <v>8</v>
      </c>
      <c r="D82" s="2" t="s">
        <v>9</v>
      </c>
      <c r="E82" s="2" t="n">
        <v>16</v>
      </c>
      <c r="F82" s="3" t="n">
        <v>1364745</v>
      </c>
      <c r="G82" s="3" t="n">
        <v>19823</v>
      </c>
    </row>
    <row r="83" customFormat="false" ht="15" hidden="false" customHeight="false" outlineLevel="0" collapsed="false">
      <c r="A83" s="2" t="s">
        <v>20</v>
      </c>
      <c r="B83" s="2" t="n">
        <v>2023</v>
      </c>
      <c r="C83" s="2" t="s">
        <v>8</v>
      </c>
      <c r="D83" s="2" t="s">
        <v>10</v>
      </c>
      <c r="E83" s="2" t="n">
        <v>19</v>
      </c>
      <c r="F83" s="3" t="n">
        <v>932764</v>
      </c>
      <c r="G83" s="3" t="n">
        <v>-5789</v>
      </c>
    </row>
    <row r="84" customFormat="false" ht="15" hidden="false" customHeight="false" outlineLevel="0" collapsed="false">
      <c r="A84" s="2" t="s">
        <v>20</v>
      </c>
      <c r="B84" s="2" t="n">
        <v>2023</v>
      </c>
      <c r="C84" s="2" t="s">
        <v>8</v>
      </c>
      <c r="D84" s="2" t="s">
        <v>11</v>
      </c>
      <c r="E84" s="2" t="n">
        <v>34</v>
      </c>
      <c r="F84" s="3" t="n">
        <v>2220800</v>
      </c>
      <c r="G84" s="3" t="n">
        <v>104908</v>
      </c>
    </row>
    <row r="85" customFormat="false" ht="15" hidden="false" customHeight="false" outlineLevel="0" collapsed="false">
      <c r="A85" s="2" t="s">
        <v>20</v>
      </c>
      <c r="B85" s="2" t="n">
        <v>2023</v>
      </c>
      <c r="C85" s="2" t="s">
        <v>8</v>
      </c>
      <c r="D85" s="2" t="s">
        <v>12</v>
      </c>
      <c r="E85" s="2" t="n">
        <v>33</v>
      </c>
      <c r="F85" s="3" t="n">
        <v>2117097</v>
      </c>
      <c r="G85" s="3" t="n">
        <v>-76250</v>
      </c>
    </row>
    <row r="86" customFormat="false" ht="15" hidden="false" customHeight="false" outlineLevel="0" collapsed="false">
      <c r="A86" s="2" t="s">
        <v>20</v>
      </c>
      <c r="B86" s="2" t="n">
        <v>2023</v>
      </c>
      <c r="C86" s="2" t="s">
        <v>13</v>
      </c>
      <c r="D86" s="2" t="s">
        <v>9</v>
      </c>
      <c r="E86" s="2" t="n">
        <v>9</v>
      </c>
      <c r="F86" s="3" t="n">
        <v>71961</v>
      </c>
      <c r="G86" s="3" t="n">
        <v>26826</v>
      </c>
    </row>
    <row r="87" customFormat="false" ht="15" hidden="false" customHeight="false" outlineLevel="0" collapsed="false">
      <c r="A87" s="2" t="s">
        <v>20</v>
      </c>
      <c r="B87" s="2" t="n">
        <v>2023</v>
      </c>
      <c r="C87" s="2" t="s">
        <v>13</v>
      </c>
      <c r="D87" s="2" t="s">
        <v>10</v>
      </c>
      <c r="E87" s="2" t="n">
        <v>18</v>
      </c>
      <c r="F87" s="3" t="n">
        <v>73163</v>
      </c>
      <c r="G87" s="3" t="n">
        <v>28762</v>
      </c>
    </row>
    <row r="88" customFormat="false" ht="15" hidden="false" customHeight="false" outlineLevel="0" collapsed="false">
      <c r="A88" s="2" t="s">
        <v>20</v>
      </c>
      <c r="B88" s="2" t="n">
        <v>2023</v>
      </c>
      <c r="C88" s="2" t="s">
        <v>13</v>
      </c>
      <c r="D88" s="2" t="s">
        <v>11</v>
      </c>
      <c r="E88" s="2" t="n">
        <v>41</v>
      </c>
      <c r="F88" s="3" t="n">
        <v>203191</v>
      </c>
      <c r="G88" s="3" t="n">
        <v>81042</v>
      </c>
    </row>
    <row r="89" customFormat="false" ht="15" hidden="false" customHeight="false" outlineLevel="0" collapsed="false">
      <c r="A89" s="2" t="s">
        <v>20</v>
      </c>
      <c r="B89" s="2" t="n">
        <v>2023</v>
      </c>
      <c r="C89" s="2" t="s">
        <v>13</v>
      </c>
      <c r="D89" s="2" t="s">
        <v>12</v>
      </c>
      <c r="E89" s="2" t="n">
        <v>32</v>
      </c>
      <c r="F89" s="3" t="n">
        <v>181844</v>
      </c>
      <c r="G89" s="3" t="n">
        <v>78223</v>
      </c>
    </row>
    <row r="90" customFormat="false" ht="15" hidden="false" customHeight="false" outlineLevel="0" collapsed="false">
      <c r="A90" s="2" t="s">
        <v>20</v>
      </c>
      <c r="B90" s="2" t="n">
        <v>2023</v>
      </c>
      <c r="C90" s="2" t="s">
        <v>14</v>
      </c>
      <c r="D90" s="2" t="s">
        <v>9</v>
      </c>
      <c r="E90" s="2" t="n">
        <v>15</v>
      </c>
      <c r="F90" s="3" t="n">
        <v>5858</v>
      </c>
      <c r="G90" s="3" t="n">
        <v>634</v>
      </c>
    </row>
    <row r="91" customFormat="false" ht="15" hidden="false" customHeight="false" outlineLevel="0" collapsed="false">
      <c r="A91" s="2" t="s">
        <v>20</v>
      </c>
      <c r="B91" s="2" t="n">
        <v>2023</v>
      </c>
      <c r="C91" s="2" t="s">
        <v>14</v>
      </c>
      <c r="D91" s="2" t="s">
        <v>10</v>
      </c>
      <c r="E91" s="2" t="n">
        <v>18</v>
      </c>
      <c r="F91" s="3" t="n">
        <v>10324</v>
      </c>
      <c r="G91" s="3" t="n">
        <v>1203</v>
      </c>
    </row>
    <row r="92" customFormat="false" ht="15" hidden="false" customHeight="false" outlineLevel="0" collapsed="false">
      <c r="A92" s="2" t="s">
        <v>20</v>
      </c>
      <c r="B92" s="2" t="n">
        <v>2023</v>
      </c>
      <c r="C92" s="2" t="s">
        <v>14</v>
      </c>
      <c r="D92" s="2" t="s">
        <v>11</v>
      </c>
      <c r="E92" s="2" t="n">
        <v>36</v>
      </c>
      <c r="F92" s="3" t="n">
        <v>15338</v>
      </c>
      <c r="G92" s="3" t="n">
        <v>1709</v>
      </c>
    </row>
    <row r="93" customFormat="false" ht="15" hidden="false" customHeight="false" outlineLevel="0" collapsed="false">
      <c r="A93" s="2" t="s">
        <v>20</v>
      </c>
      <c r="B93" s="2" t="n">
        <v>2023</v>
      </c>
      <c r="C93" s="2" t="s">
        <v>14</v>
      </c>
      <c r="D93" s="2" t="s">
        <v>12</v>
      </c>
      <c r="E93" s="2" t="n">
        <v>40</v>
      </c>
      <c r="F93" s="3" t="n">
        <v>15330</v>
      </c>
      <c r="G93" s="3" t="n">
        <v>1195</v>
      </c>
    </row>
    <row r="94" customFormat="false" ht="15" hidden="false" customHeight="false" outlineLevel="0" collapsed="false">
      <c r="A94" s="2" t="s">
        <v>20</v>
      </c>
      <c r="B94" s="2" t="n">
        <v>2023</v>
      </c>
      <c r="C94" s="2" t="s">
        <v>15</v>
      </c>
      <c r="D94" s="2" t="s">
        <v>9</v>
      </c>
      <c r="E94" s="2" t="n">
        <v>9</v>
      </c>
      <c r="F94" s="3" t="n">
        <v>99601</v>
      </c>
      <c r="G94" s="3" t="n">
        <v>23959</v>
      </c>
    </row>
    <row r="95" customFormat="false" ht="15" hidden="false" customHeight="false" outlineLevel="0" collapsed="false">
      <c r="A95" s="2" t="s">
        <v>20</v>
      </c>
      <c r="B95" s="2" t="n">
        <v>2023</v>
      </c>
      <c r="C95" s="2" t="s">
        <v>15</v>
      </c>
      <c r="D95" s="2" t="s">
        <v>10</v>
      </c>
      <c r="E95" s="2" t="n">
        <v>23</v>
      </c>
      <c r="F95" s="3" t="n">
        <v>446574</v>
      </c>
      <c r="G95" s="3" t="n">
        <v>99340</v>
      </c>
    </row>
    <row r="96" customFormat="false" ht="15" hidden="false" customHeight="false" outlineLevel="0" collapsed="false">
      <c r="A96" s="2" t="s">
        <v>20</v>
      </c>
      <c r="B96" s="2" t="n">
        <v>2023</v>
      </c>
      <c r="C96" s="2" t="s">
        <v>15</v>
      </c>
      <c r="D96" s="2" t="s">
        <v>11</v>
      </c>
      <c r="E96" s="2" t="n">
        <v>32</v>
      </c>
      <c r="F96" s="3" t="n">
        <v>938647</v>
      </c>
      <c r="G96" s="3" t="n">
        <v>200902</v>
      </c>
    </row>
    <row r="97" customFormat="false" ht="15" hidden="false" customHeight="false" outlineLevel="0" collapsed="false">
      <c r="A97" s="2" t="s">
        <v>20</v>
      </c>
      <c r="B97" s="2" t="n">
        <v>2023</v>
      </c>
      <c r="C97" s="2" t="s">
        <v>15</v>
      </c>
      <c r="D97" s="2" t="s">
        <v>12</v>
      </c>
      <c r="E97" s="2" t="n">
        <v>44</v>
      </c>
      <c r="F97" s="3" t="n">
        <v>696978</v>
      </c>
      <c r="G97" s="3" t="n">
        <v>164724</v>
      </c>
    </row>
    <row r="98" customFormat="false" ht="15" hidden="false" customHeight="false" outlineLevel="0" collapsed="false">
      <c r="A98" s="2" t="s">
        <v>21</v>
      </c>
      <c r="B98" s="2" t="n">
        <v>2023</v>
      </c>
      <c r="C98" s="2" t="s">
        <v>8</v>
      </c>
      <c r="D98" s="2" t="s">
        <v>9</v>
      </c>
      <c r="E98" s="2" t="n">
        <v>21</v>
      </c>
      <c r="F98" s="3" t="n">
        <v>1804234</v>
      </c>
      <c r="G98" s="3" t="n">
        <v>33132</v>
      </c>
    </row>
    <row r="99" customFormat="false" ht="15" hidden="false" customHeight="false" outlineLevel="0" collapsed="false">
      <c r="A99" s="2" t="s">
        <v>21</v>
      </c>
      <c r="B99" s="2" t="n">
        <v>2023</v>
      </c>
      <c r="C99" s="2" t="s">
        <v>8</v>
      </c>
      <c r="D99" s="2" t="s">
        <v>10</v>
      </c>
      <c r="E99" s="2" t="n">
        <v>19</v>
      </c>
      <c r="F99" s="3" t="n">
        <v>848680</v>
      </c>
      <c r="G99" s="3" t="n">
        <v>-6517</v>
      </c>
    </row>
    <row r="100" customFormat="false" ht="15" hidden="false" customHeight="false" outlineLevel="0" collapsed="false">
      <c r="A100" s="2" t="s">
        <v>21</v>
      </c>
      <c r="B100" s="2" t="n">
        <v>2023</v>
      </c>
      <c r="C100" s="2" t="s">
        <v>8</v>
      </c>
      <c r="D100" s="2" t="s">
        <v>11</v>
      </c>
      <c r="E100" s="2" t="n">
        <v>37</v>
      </c>
      <c r="F100" s="3" t="n">
        <v>2475396</v>
      </c>
      <c r="G100" s="3" t="n">
        <v>131266</v>
      </c>
    </row>
    <row r="101" customFormat="false" ht="15" hidden="false" customHeight="false" outlineLevel="0" collapsed="false">
      <c r="A101" s="2" t="s">
        <v>21</v>
      </c>
      <c r="B101" s="2" t="n">
        <v>2023</v>
      </c>
      <c r="C101" s="2" t="s">
        <v>8</v>
      </c>
      <c r="D101" s="2" t="s">
        <v>12</v>
      </c>
      <c r="E101" s="2" t="n">
        <v>25</v>
      </c>
      <c r="F101" s="3" t="n">
        <v>1133951</v>
      </c>
      <c r="G101" s="3" t="n">
        <v>53259</v>
      </c>
    </row>
    <row r="102" customFormat="false" ht="15" hidden="false" customHeight="false" outlineLevel="0" collapsed="false">
      <c r="A102" s="2" t="s">
        <v>21</v>
      </c>
      <c r="B102" s="2" t="n">
        <v>2023</v>
      </c>
      <c r="C102" s="2" t="s">
        <v>13</v>
      </c>
      <c r="D102" s="2" t="s">
        <v>9</v>
      </c>
      <c r="E102" s="2" t="n">
        <v>14</v>
      </c>
      <c r="F102" s="3" t="n">
        <v>73160</v>
      </c>
      <c r="G102" s="3" t="n">
        <v>28309</v>
      </c>
    </row>
    <row r="103" customFormat="false" ht="15" hidden="false" customHeight="false" outlineLevel="0" collapsed="false">
      <c r="A103" s="2" t="s">
        <v>21</v>
      </c>
      <c r="B103" s="2" t="n">
        <v>2023</v>
      </c>
      <c r="C103" s="2" t="s">
        <v>13</v>
      </c>
      <c r="D103" s="2" t="s">
        <v>10</v>
      </c>
      <c r="E103" s="2" t="n">
        <v>19</v>
      </c>
      <c r="F103" s="3" t="n">
        <v>96069</v>
      </c>
      <c r="G103" s="3" t="n">
        <v>42327</v>
      </c>
    </row>
    <row r="104" customFormat="false" ht="15" hidden="false" customHeight="false" outlineLevel="0" collapsed="false">
      <c r="A104" s="2" t="s">
        <v>21</v>
      </c>
      <c r="B104" s="2" t="n">
        <v>2023</v>
      </c>
      <c r="C104" s="2" t="s">
        <v>13</v>
      </c>
      <c r="D104" s="2" t="s">
        <v>11</v>
      </c>
      <c r="E104" s="2" t="n">
        <v>44</v>
      </c>
      <c r="F104" s="3" t="n">
        <v>247704</v>
      </c>
      <c r="G104" s="3" t="n">
        <v>101853</v>
      </c>
    </row>
    <row r="105" customFormat="false" ht="15" hidden="false" customHeight="false" outlineLevel="0" collapsed="false">
      <c r="A105" s="2" t="s">
        <v>21</v>
      </c>
      <c r="B105" s="2" t="n">
        <v>2023</v>
      </c>
      <c r="C105" s="2" t="s">
        <v>13</v>
      </c>
      <c r="D105" s="2" t="s">
        <v>12</v>
      </c>
      <c r="E105" s="2" t="n">
        <v>29</v>
      </c>
      <c r="F105" s="3" t="n">
        <v>145983</v>
      </c>
      <c r="G105" s="3" t="n">
        <v>62548</v>
      </c>
    </row>
    <row r="106" customFormat="false" ht="15" hidden="false" customHeight="false" outlineLevel="0" collapsed="false">
      <c r="A106" s="2" t="s">
        <v>21</v>
      </c>
      <c r="B106" s="2" t="n">
        <v>2023</v>
      </c>
      <c r="C106" s="2" t="s">
        <v>14</v>
      </c>
      <c r="D106" s="2" t="s">
        <v>9</v>
      </c>
      <c r="E106" s="2" t="n">
        <v>31</v>
      </c>
      <c r="F106" s="3" t="n">
        <v>11561</v>
      </c>
      <c r="G106" s="3" t="n">
        <v>837</v>
      </c>
    </row>
    <row r="107" customFormat="false" ht="15" hidden="false" customHeight="false" outlineLevel="0" collapsed="false">
      <c r="A107" s="2" t="s">
        <v>21</v>
      </c>
      <c r="B107" s="2" t="n">
        <v>2023</v>
      </c>
      <c r="C107" s="2" t="s">
        <v>14</v>
      </c>
      <c r="D107" s="2" t="s">
        <v>10</v>
      </c>
      <c r="E107" s="2" t="n">
        <v>17</v>
      </c>
      <c r="F107" s="3" t="n">
        <v>6196</v>
      </c>
      <c r="G107" s="3" t="n">
        <v>496</v>
      </c>
    </row>
    <row r="108" customFormat="false" ht="15" hidden="false" customHeight="false" outlineLevel="0" collapsed="false">
      <c r="A108" s="2" t="s">
        <v>21</v>
      </c>
      <c r="B108" s="2" t="n">
        <v>2023</v>
      </c>
      <c r="C108" s="2" t="s">
        <v>14</v>
      </c>
      <c r="D108" s="2" t="s">
        <v>11</v>
      </c>
      <c r="E108" s="2" t="n">
        <v>39</v>
      </c>
      <c r="F108" s="3" t="n">
        <v>20254</v>
      </c>
      <c r="G108" s="3" t="n">
        <v>2092</v>
      </c>
    </row>
    <row r="109" customFormat="false" ht="15" hidden="false" customHeight="false" outlineLevel="0" collapsed="false">
      <c r="A109" s="2" t="s">
        <v>21</v>
      </c>
      <c r="B109" s="2" t="n">
        <v>2023</v>
      </c>
      <c r="C109" s="2" t="s">
        <v>14</v>
      </c>
      <c r="D109" s="2" t="s">
        <v>12</v>
      </c>
      <c r="E109" s="2" t="n">
        <v>29</v>
      </c>
      <c r="F109" s="3" t="n">
        <v>13633</v>
      </c>
      <c r="G109" s="3" t="n">
        <v>1544</v>
      </c>
    </row>
    <row r="110" customFormat="false" ht="15" hidden="false" customHeight="false" outlineLevel="0" collapsed="false">
      <c r="A110" s="2" t="s">
        <v>21</v>
      </c>
      <c r="B110" s="2" t="n">
        <v>2023</v>
      </c>
      <c r="C110" s="2" t="s">
        <v>15</v>
      </c>
      <c r="D110" s="2" t="s">
        <v>9</v>
      </c>
      <c r="E110" s="2" t="n">
        <v>15</v>
      </c>
      <c r="F110" s="3" t="n">
        <v>170485</v>
      </c>
      <c r="G110" s="3" t="n">
        <v>34725</v>
      </c>
    </row>
    <row r="111" customFormat="false" ht="15" hidden="false" customHeight="false" outlineLevel="0" collapsed="false">
      <c r="A111" s="2" t="s">
        <v>21</v>
      </c>
      <c r="B111" s="2" t="n">
        <v>2023</v>
      </c>
      <c r="C111" s="2" t="s">
        <v>15</v>
      </c>
      <c r="D111" s="2" t="s">
        <v>10</v>
      </c>
      <c r="E111" s="2" t="n">
        <v>18</v>
      </c>
      <c r="F111" s="3" t="n">
        <v>227953</v>
      </c>
      <c r="G111" s="3" t="n">
        <v>41523</v>
      </c>
    </row>
    <row r="112" customFormat="false" ht="15" hidden="false" customHeight="false" outlineLevel="0" collapsed="false">
      <c r="A112" s="2" t="s">
        <v>21</v>
      </c>
      <c r="B112" s="2" t="n">
        <v>2023</v>
      </c>
      <c r="C112" s="2" t="s">
        <v>15</v>
      </c>
      <c r="D112" s="2" t="s">
        <v>11</v>
      </c>
      <c r="E112" s="2" t="n">
        <v>38</v>
      </c>
      <c r="F112" s="3" t="n">
        <v>511671</v>
      </c>
      <c r="G112" s="3" t="n">
        <v>123849</v>
      </c>
    </row>
    <row r="113" customFormat="false" ht="15" hidden="false" customHeight="false" outlineLevel="0" collapsed="false">
      <c r="A113" s="2" t="s">
        <v>21</v>
      </c>
      <c r="B113" s="2" t="n">
        <v>2023</v>
      </c>
      <c r="C113" s="2" t="s">
        <v>15</v>
      </c>
      <c r="D113" s="2" t="s">
        <v>12</v>
      </c>
      <c r="E113" s="2" t="n">
        <v>26</v>
      </c>
      <c r="F113" s="3" t="n">
        <v>337963</v>
      </c>
      <c r="G113" s="3" t="n">
        <v>80469</v>
      </c>
    </row>
    <row r="114" customFormat="false" ht="15" hidden="false" customHeight="false" outlineLevel="0" collapsed="false">
      <c r="A114" s="2" t="s">
        <v>22</v>
      </c>
      <c r="B114" s="2" t="n">
        <v>2023</v>
      </c>
      <c r="C114" s="2" t="s">
        <v>8</v>
      </c>
      <c r="D114" s="2" t="s">
        <v>9</v>
      </c>
      <c r="E114" s="2" t="n">
        <v>13</v>
      </c>
      <c r="F114" s="3" t="n">
        <v>618181</v>
      </c>
      <c r="G114" s="3" t="n">
        <v>14610</v>
      </c>
    </row>
    <row r="115" customFormat="false" ht="15" hidden="false" customHeight="false" outlineLevel="0" collapsed="false">
      <c r="A115" s="2" t="s">
        <v>22</v>
      </c>
      <c r="B115" s="2" t="n">
        <v>2023</v>
      </c>
      <c r="C115" s="2" t="s">
        <v>8</v>
      </c>
      <c r="D115" s="2" t="s">
        <v>10</v>
      </c>
      <c r="E115" s="2" t="n">
        <v>30</v>
      </c>
      <c r="F115" s="3" t="n">
        <v>1912144</v>
      </c>
      <c r="G115" s="3" t="n">
        <v>-44901</v>
      </c>
    </row>
    <row r="116" customFormat="false" ht="15" hidden="false" customHeight="false" outlineLevel="0" collapsed="false">
      <c r="A116" s="2" t="s">
        <v>22</v>
      </c>
      <c r="B116" s="2" t="n">
        <v>2023</v>
      </c>
      <c r="C116" s="2" t="s">
        <v>8</v>
      </c>
      <c r="D116" s="2" t="s">
        <v>11</v>
      </c>
      <c r="E116" s="2" t="n">
        <v>50</v>
      </c>
      <c r="F116" s="3" t="n">
        <v>3712872</v>
      </c>
      <c r="G116" s="3" t="n">
        <v>179374</v>
      </c>
    </row>
    <row r="117" customFormat="false" ht="15" hidden="false" customHeight="false" outlineLevel="0" collapsed="false">
      <c r="A117" s="2" t="s">
        <v>22</v>
      </c>
      <c r="B117" s="2" t="n">
        <v>2023</v>
      </c>
      <c r="C117" s="2" t="s">
        <v>8</v>
      </c>
      <c r="D117" s="2" t="s">
        <v>12</v>
      </c>
      <c r="E117" s="2" t="n">
        <v>34</v>
      </c>
      <c r="F117" s="3" t="n">
        <v>2671744</v>
      </c>
      <c r="G117" s="3" t="n">
        <v>112169</v>
      </c>
    </row>
    <row r="118" customFormat="false" ht="15" hidden="false" customHeight="false" outlineLevel="0" collapsed="false">
      <c r="A118" s="2" t="s">
        <v>22</v>
      </c>
      <c r="B118" s="2" t="n">
        <v>2023</v>
      </c>
      <c r="C118" s="2" t="s">
        <v>13</v>
      </c>
      <c r="D118" s="2" t="s">
        <v>9</v>
      </c>
      <c r="E118" s="2" t="n">
        <v>21</v>
      </c>
      <c r="F118" s="3" t="n">
        <v>115922</v>
      </c>
      <c r="G118" s="3" t="n">
        <v>50068</v>
      </c>
    </row>
    <row r="119" customFormat="false" ht="15" hidden="false" customHeight="false" outlineLevel="0" collapsed="false">
      <c r="A119" s="2" t="s">
        <v>22</v>
      </c>
      <c r="B119" s="2" t="n">
        <v>2023</v>
      </c>
      <c r="C119" s="2" t="s">
        <v>13</v>
      </c>
      <c r="D119" s="2" t="s">
        <v>10</v>
      </c>
      <c r="E119" s="2" t="n">
        <v>33</v>
      </c>
      <c r="F119" s="3" t="n">
        <v>139627</v>
      </c>
      <c r="G119" s="3" t="n">
        <v>59925</v>
      </c>
    </row>
    <row r="120" customFormat="false" ht="15" hidden="false" customHeight="false" outlineLevel="0" collapsed="false">
      <c r="A120" s="2" t="s">
        <v>22</v>
      </c>
      <c r="B120" s="2" t="n">
        <v>2023</v>
      </c>
      <c r="C120" s="2" t="s">
        <v>13</v>
      </c>
      <c r="D120" s="2" t="s">
        <v>11</v>
      </c>
      <c r="E120" s="2" t="n">
        <v>64</v>
      </c>
      <c r="F120" s="3" t="n">
        <v>374876</v>
      </c>
      <c r="G120" s="3" t="n">
        <v>152116</v>
      </c>
    </row>
    <row r="121" customFormat="false" ht="15" hidden="false" customHeight="false" outlineLevel="0" collapsed="false">
      <c r="A121" s="2" t="s">
        <v>22</v>
      </c>
      <c r="B121" s="2" t="n">
        <v>2023</v>
      </c>
      <c r="C121" s="2" t="s">
        <v>13</v>
      </c>
      <c r="D121" s="2" t="s">
        <v>12</v>
      </c>
      <c r="E121" s="2" t="n">
        <v>34</v>
      </c>
      <c r="F121" s="3" t="n">
        <v>194118</v>
      </c>
      <c r="G121" s="3" t="n">
        <v>69108</v>
      </c>
    </row>
    <row r="122" customFormat="false" ht="15" hidden="false" customHeight="false" outlineLevel="0" collapsed="false">
      <c r="A122" s="2" t="s">
        <v>22</v>
      </c>
      <c r="B122" s="2" t="n">
        <v>2023</v>
      </c>
      <c r="C122" s="2" t="s">
        <v>14</v>
      </c>
      <c r="D122" s="2" t="s">
        <v>9</v>
      </c>
      <c r="E122" s="2" t="n">
        <v>23</v>
      </c>
      <c r="F122" s="3" t="n">
        <v>9519</v>
      </c>
      <c r="G122" s="3" t="n">
        <v>850</v>
      </c>
    </row>
    <row r="123" customFormat="false" ht="15" hidden="false" customHeight="false" outlineLevel="0" collapsed="false">
      <c r="A123" s="2" t="s">
        <v>22</v>
      </c>
      <c r="B123" s="2" t="n">
        <v>2023</v>
      </c>
      <c r="C123" s="2" t="s">
        <v>14</v>
      </c>
      <c r="D123" s="2" t="s">
        <v>10</v>
      </c>
      <c r="E123" s="2" t="n">
        <v>25</v>
      </c>
      <c r="F123" s="3" t="n">
        <v>10959</v>
      </c>
      <c r="G123" s="3" t="n">
        <v>354</v>
      </c>
    </row>
    <row r="124" customFormat="false" ht="15" hidden="false" customHeight="false" outlineLevel="0" collapsed="false">
      <c r="A124" s="2" t="s">
        <v>22</v>
      </c>
      <c r="B124" s="2" t="n">
        <v>2023</v>
      </c>
      <c r="C124" s="2" t="s">
        <v>14</v>
      </c>
      <c r="D124" s="2" t="s">
        <v>11</v>
      </c>
      <c r="E124" s="2" t="n">
        <v>52</v>
      </c>
      <c r="F124" s="3" t="n">
        <v>26370</v>
      </c>
      <c r="G124" s="3" t="n">
        <v>2253</v>
      </c>
    </row>
    <row r="125" customFormat="false" ht="15" hidden="false" customHeight="false" outlineLevel="0" collapsed="false">
      <c r="A125" s="2" t="s">
        <v>22</v>
      </c>
      <c r="B125" s="2" t="n">
        <v>2023</v>
      </c>
      <c r="C125" s="2" t="s">
        <v>14</v>
      </c>
      <c r="D125" s="2" t="s">
        <v>12</v>
      </c>
      <c r="E125" s="2" t="n">
        <v>29</v>
      </c>
      <c r="F125" s="3" t="n">
        <v>10959</v>
      </c>
      <c r="G125" s="3" t="n">
        <v>969</v>
      </c>
    </row>
    <row r="126" customFormat="false" ht="15" hidden="false" customHeight="false" outlineLevel="0" collapsed="false">
      <c r="A126" s="2" t="s">
        <v>22</v>
      </c>
      <c r="B126" s="2" t="n">
        <v>2023</v>
      </c>
      <c r="C126" s="2" t="s">
        <v>15</v>
      </c>
      <c r="D126" s="2" t="s">
        <v>9</v>
      </c>
      <c r="E126" s="2" t="n">
        <v>16</v>
      </c>
      <c r="F126" s="3" t="n">
        <v>278626</v>
      </c>
      <c r="G126" s="3" t="n">
        <v>54535</v>
      </c>
    </row>
    <row r="127" customFormat="false" ht="15" hidden="false" customHeight="false" outlineLevel="0" collapsed="false">
      <c r="A127" s="2" t="s">
        <v>22</v>
      </c>
      <c r="B127" s="2" t="n">
        <v>2023</v>
      </c>
      <c r="C127" s="2" t="s">
        <v>15</v>
      </c>
      <c r="D127" s="2" t="s">
        <v>10</v>
      </c>
      <c r="E127" s="2" t="n">
        <v>23</v>
      </c>
      <c r="F127" s="3" t="n">
        <v>359998</v>
      </c>
      <c r="G127" s="3" t="n">
        <v>74930</v>
      </c>
    </row>
    <row r="128" customFormat="false" ht="15" hidden="false" customHeight="false" outlineLevel="0" collapsed="false">
      <c r="A128" s="2" t="s">
        <v>22</v>
      </c>
      <c r="B128" s="2" t="n">
        <v>2023</v>
      </c>
      <c r="C128" s="2" t="s">
        <v>15</v>
      </c>
      <c r="D128" s="2" t="s">
        <v>11</v>
      </c>
      <c r="E128" s="2" t="n">
        <v>51</v>
      </c>
      <c r="F128" s="3" t="n">
        <v>738178</v>
      </c>
      <c r="G128" s="3" t="n">
        <v>183556</v>
      </c>
    </row>
    <row r="129" customFormat="false" ht="15" hidden="false" customHeight="false" outlineLevel="0" collapsed="false">
      <c r="A129" s="2" t="s">
        <v>22</v>
      </c>
      <c r="B129" s="2" t="n">
        <v>2023</v>
      </c>
      <c r="C129" s="2" t="s">
        <v>15</v>
      </c>
      <c r="D129" s="2" t="s">
        <v>12</v>
      </c>
      <c r="E129" s="2" t="n">
        <v>37</v>
      </c>
      <c r="F129" s="3" t="n">
        <v>846638</v>
      </c>
      <c r="G129" s="3" t="n">
        <v>194890</v>
      </c>
    </row>
    <row r="130" customFormat="false" ht="15" hidden="false" customHeight="false" outlineLevel="0" collapsed="false">
      <c r="A130" s="2" t="s">
        <v>23</v>
      </c>
      <c r="B130" s="2" t="n">
        <v>2023</v>
      </c>
      <c r="C130" s="2" t="s">
        <v>8</v>
      </c>
      <c r="D130" s="2" t="s">
        <v>9</v>
      </c>
      <c r="E130" s="2" t="n">
        <v>16</v>
      </c>
      <c r="F130" s="3" t="n">
        <v>1081202</v>
      </c>
      <c r="G130" s="3" t="n">
        <v>97988</v>
      </c>
    </row>
    <row r="131" customFormat="false" ht="15" hidden="false" customHeight="false" outlineLevel="0" collapsed="false">
      <c r="A131" s="2" t="s">
        <v>23</v>
      </c>
      <c r="B131" s="2" t="n">
        <v>2023</v>
      </c>
      <c r="C131" s="2" t="s">
        <v>8</v>
      </c>
      <c r="D131" s="2" t="s">
        <v>10</v>
      </c>
      <c r="E131" s="2" t="n">
        <v>27</v>
      </c>
      <c r="F131" s="3" t="n">
        <v>1412682</v>
      </c>
      <c r="G131" s="3" t="n">
        <v>28620</v>
      </c>
    </row>
    <row r="132" customFormat="false" ht="15" hidden="false" customHeight="false" outlineLevel="0" collapsed="false">
      <c r="A132" s="2" t="s">
        <v>23</v>
      </c>
      <c r="B132" s="2" t="n">
        <v>2023</v>
      </c>
      <c r="C132" s="2" t="s">
        <v>8</v>
      </c>
      <c r="D132" s="2" t="s">
        <v>11</v>
      </c>
      <c r="E132" s="2" t="n">
        <v>46</v>
      </c>
      <c r="F132" s="3" t="n">
        <v>2784981</v>
      </c>
      <c r="G132" s="3" t="n">
        <v>143693</v>
      </c>
    </row>
    <row r="133" customFormat="false" ht="15" hidden="false" customHeight="false" outlineLevel="0" collapsed="false">
      <c r="A133" s="2" t="s">
        <v>23</v>
      </c>
      <c r="B133" s="2" t="n">
        <v>2023</v>
      </c>
      <c r="C133" s="2" t="s">
        <v>8</v>
      </c>
      <c r="D133" s="2" t="s">
        <v>12</v>
      </c>
      <c r="E133" s="2" t="n">
        <v>40</v>
      </c>
      <c r="F133" s="3" t="n">
        <v>2767559</v>
      </c>
      <c r="G133" s="3" t="n">
        <v>208499</v>
      </c>
    </row>
    <row r="134" customFormat="false" ht="15" hidden="false" customHeight="false" outlineLevel="0" collapsed="false">
      <c r="A134" s="2" t="s">
        <v>23</v>
      </c>
      <c r="B134" s="2" t="n">
        <v>2023</v>
      </c>
      <c r="C134" s="2" t="s">
        <v>13</v>
      </c>
      <c r="D134" s="2" t="s">
        <v>9</v>
      </c>
      <c r="E134" s="2" t="n">
        <v>11</v>
      </c>
      <c r="F134" s="3" t="n">
        <v>56245</v>
      </c>
      <c r="G134" s="3" t="n">
        <v>22647</v>
      </c>
    </row>
    <row r="135" customFormat="false" ht="15" hidden="false" customHeight="false" outlineLevel="0" collapsed="false">
      <c r="A135" s="2" t="s">
        <v>23</v>
      </c>
      <c r="B135" s="2" t="n">
        <v>2023</v>
      </c>
      <c r="C135" s="2" t="s">
        <v>13</v>
      </c>
      <c r="D135" s="2" t="s">
        <v>10</v>
      </c>
      <c r="E135" s="2" t="n">
        <v>36</v>
      </c>
      <c r="F135" s="3" t="n">
        <v>242031</v>
      </c>
      <c r="G135" s="3" t="n">
        <v>97951</v>
      </c>
    </row>
    <row r="136" customFormat="false" ht="15" hidden="false" customHeight="false" outlineLevel="0" collapsed="false">
      <c r="A136" s="2" t="s">
        <v>23</v>
      </c>
      <c r="B136" s="2" t="n">
        <v>2023</v>
      </c>
      <c r="C136" s="2" t="s">
        <v>13</v>
      </c>
      <c r="D136" s="2" t="s">
        <v>11</v>
      </c>
      <c r="E136" s="2" t="n">
        <v>44</v>
      </c>
      <c r="F136" s="3" t="n">
        <v>235266</v>
      </c>
      <c r="G136" s="3" t="n">
        <v>92044</v>
      </c>
    </row>
    <row r="137" customFormat="false" ht="15" hidden="false" customHeight="false" outlineLevel="0" collapsed="false">
      <c r="A137" s="2" t="s">
        <v>23</v>
      </c>
      <c r="B137" s="2" t="n">
        <v>2023</v>
      </c>
      <c r="C137" s="2" t="s">
        <v>13</v>
      </c>
      <c r="D137" s="2" t="s">
        <v>12</v>
      </c>
      <c r="E137" s="2" t="n">
        <v>44</v>
      </c>
      <c r="F137" s="3" t="n">
        <v>226504</v>
      </c>
      <c r="G137" s="3" t="n">
        <v>90804</v>
      </c>
    </row>
    <row r="138" customFormat="false" ht="15" hidden="false" customHeight="false" outlineLevel="0" collapsed="false">
      <c r="A138" s="2" t="s">
        <v>23</v>
      </c>
      <c r="B138" s="2" t="n">
        <v>2023</v>
      </c>
      <c r="C138" s="2" t="s">
        <v>14</v>
      </c>
      <c r="D138" s="2" t="s">
        <v>9</v>
      </c>
      <c r="E138" s="2" t="n">
        <v>11</v>
      </c>
      <c r="F138" s="3" t="n">
        <v>4865</v>
      </c>
      <c r="G138" s="3" t="n">
        <v>396</v>
      </c>
    </row>
    <row r="139" customFormat="false" ht="15" hidden="false" customHeight="false" outlineLevel="0" collapsed="false">
      <c r="A139" s="2" t="s">
        <v>23</v>
      </c>
      <c r="B139" s="2" t="n">
        <v>2023</v>
      </c>
      <c r="C139" s="2" t="s">
        <v>14</v>
      </c>
      <c r="D139" s="2" t="s">
        <v>10</v>
      </c>
      <c r="E139" s="2" t="n">
        <v>29</v>
      </c>
      <c r="F139" s="3" t="n">
        <v>16407</v>
      </c>
      <c r="G139" s="3" t="n">
        <v>943</v>
      </c>
    </row>
    <row r="140" customFormat="false" ht="15" hidden="false" customHeight="false" outlineLevel="0" collapsed="false">
      <c r="A140" s="2" t="s">
        <v>23</v>
      </c>
      <c r="B140" s="2" t="n">
        <v>2023</v>
      </c>
      <c r="C140" s="2" t="s">
        <v>14</v>
      </c>
      <c r="D140" s="2" t="s">
        <v>11</v>
      </c>
      <c r="E140" s="2" t="n">
        <v>51</v>
      </c>
      <c r="F140" s="3" t="n">
        <v>22087</v>
      </c>
      <c r="G140" s="3" t="n">
        <v>1745</v>
      </c>
    </row>
    <row r="141" customFormat="false" ht="15" hidden="false" customHeight="false" outlineLevel="0" collapsed="false">
      <c r="A141" s="2" t="s">
        <v>23</v>
      </c>
      <c r="B141" s="2" t="n">
        <v>2023</v>
      </c>
      <c r="C141" s="2" t="s">
        <v>14</v>
      </c>
      <c r="D141" s="2" t="s">
        <v>12</v>
      </c>
      <c r="E141" s="2" t="n">
        <v>26</v>
      </c>
      <c r="F141" s="3" t="n">
        <v>13583</v>
      </c>
      <c r="G141" s="3" t="n">
        <v>1138</v>
      </c>
    </row>
    <row r="142" customFormat="false" ht="15" hidden="false" customHeight="false" outlineLevel="0" collapsed="false">
      <c r="A142" s="2" t="s">
        <v>23</v>
      </c>
      <c r="B142" s="2" t="n">
        <v>2023</v>
      </c>
      <c r="C142" s="2" t="s">
        <v>15</v>
      </c>
      <c r="D142" s="2" t="s">
        <v>9</v>
      </c>
      <c r="E142" s="2" t="n">
        <v>18</v>
      </c>
      <c r="F142" s="3" t="n">
        <v>241536</v>
      </c>
      <c r="G142" s="3" t="n">
        <v>49849</v>
      </c>
    </row>
    <row r="143" customFormat="false" ht="15" hidden="false" customHeight="false" outlineLevel="0" collapsed="false">
      <c r="A143" s="2" t="s">
        <v>23</v>
      </c>
      <c r="B143" s="2" t="n">
        <v>2023</v>
      </c>
      <c r="C143" s="2" t="s">
        <v>15</v>
      </c>
      <c r="D143" s="2" t="s">
        <v>10</v>
      </c>
      <c r="E143" s="2" t="n">
        <v>36</v>
      </c>
      <c r="F143" s="3" t="n">
        <v>533985</v>
      </c>
      <c r="G143" s="3" t="n">
        <v>121650</v>
      </c>
    </row>
    <row r="144" customFormat="false" ht="15" hidden="false" customHeight="false" outlineLevel="0" collapsed="false">
      <c r="A144" s="2" t="s">
        <v>23</v>
      </c>
      <c r="B144" s="2" t="n">
        <v>2023</v>
      </c>
      <c r="C144" s="2" t="s">
        <v>15</v>
      </c>
      <c r="D144" s="2" t="s">
        <v>11</v>
      </c>
      <c r="E144" s="2" t="n">
        <v>43</v>
      </c>
      <c r="F144" s="3" t="n">
        <v>698701</v>
      </c>
      <c r="G144" s="3" t="n">
        <v>158779</v>
      </c>
    </row>
    <row r="145" customFormat="false" ht="15" hidden="false" customHeight="false" outlineLevel="0" collapsed="false">
      <c r="A145" s="2" t="s">
        <v>23</v>
      </c>
      <c r="B145" s="2" t="n">
        <v>2023</v>
      </c>
      <c r="C145" s="2" t="s">
        <v>15</v>
      </c>
      <c r="D145" s="2" t="s">
        <v>12</v>
      </c>
      <c r="E145" s="2" t="n">
        <v>35</v>
      </c>
      <c r="F145" s="3" t="n">
        <v>438140</v>
      </c>
      <c r="G145" s="3" t="n">
        <v>105078</v>
      </c>
    </row>
    <row r="146" customFormat="false" ht="15" hidden="false" customHeight="false" outlineLevel="0" collapsed="false">
      <c r="A146" s="2" t="s">
        <v>24</v>
      </c>
      <c r="B146" s="2" t="n">
        <v>2023</v>
      </c>
      <c r="C146" s="2" t="s">
        <v>8</v>
      </c>
      <c r="D146" s="2" t="s">
        <v>9</v>
      </c>
      <c r="E146" s="2" t="n">
        <v>21</v>
      </c>
      <c r="F146" s="3" t="n">
        <v>1413337</v>
      </c>
      <c r="G146" s="3" t="n">
        <v>7480</v>
      </c>
    </row>
    <row r="147" customFormat="false" ht="15" hidden="false" customHeight="false" outlineLevel="0" collapsed="false">
      <c r="A147" s="2" t="s">
        <v>24</v>
      </c>
      <c r="B147" s="2" t="n">
        <v>2023</v>
      </c>
      <c r="C147" s="2" t="s">
        <v>8</v>
      </c>
      <c r="D147" s="2" t="s">
        <v>10</v>
      </c>
      <c r="E147" s="2" t="n">
        <v>54</v>
      </c>
      <c r="F147" s="3" t="n">
        <v>3128496</v>
      </c>
      <c r="G147" s="3" t="n">
        <v>6950</v>
      </c>
    </row>
    <row r="148" customFormat="false" ht="15" hidden="false" customHeight="false" outlineLevel="0" collapsed="false">
      <c r="A148" s="2" t="s">
        <v>24</v>
      </c>
      <c r="B148" s="2" t="n">
        <v>2023</v>
      </c>
      <c r="C148" s="2" t="s">
        <v>8</v>
      </c>
      <c r="D148" s="2" t="s">
        <v>11</v>
      </c>
      <c r="E148" s="2" t="n">
        <v>70</v>
      </c>
      <c r="F148" s="3" t="n">
        <v>4785503</v>
      </c>
      <c r="G148" s="3" t="n">
        <v>69191</v>
      </c>
    </row>
    <row r="149" customFormat="false" ht="15" hidden="false" customHeight="false" outlineLevel="0" collapsed="false">
      <c r="A149" s="2" t="s">
        <v>24</v>
      </c>
      <c r="B149" s="2" t="n">
        <v>2023</v>
      </c>
      <c r="C149" s="2" t="s">
        <v>8</v>
      </c>
      <c r="D149" s="2" t="s">
        <v>12</v>
      </c>
      <c r="E149" s="2" t="n">
        <v>76</v>
      </c>
      <c r="F149" s="3" t="n">
        <v>4729192</v>
      </c>
      <c r="G149" s="3" t="n">
        <v>177605</v>
      </c>
    </row>
    <row r="150" customFormat="false" ht="15" hidden="false" customHeight="false" outlineLevel="0" collapsed="false">
      <c r="A150" s="2" t="s">
        <v>24</v>
      </c>
      <c r="B150" s="2" t="n">
        <v>2023</v>
      </c>
      <c r="C150" s="2" t="s">
        <v>13</v>
      </c>
      <c r="D150" s="2" t="s">
        <v>9</v>
      </c>
      <c r="E150" s="2" t="n">
        <v>31</v>
      </c>
      <c r="F150" s="3" t="n">
        <v>158672</v>
      </c>
      <c r="G150" s="3" t="n">
        <v>58849</v>
      </c>
    </row>
    <row r="151" customFormat="false" ht="15" hidden="false" customHeight="false" outlineLevel="0" collapsed="false">
      <c r="A151" s="2" t="s">
        <v>24</v>
      </c>
      <c r="B151" s="2" t="n">
        <v>2023</v>
      </c>
      <c r="C151" s="2" t="s">
        <v>13</v>
      </c>
      <c r="D151" s="2" t="s">
        <v>10</v>
      </c>
      <c r="E151" s="2" t="n">
        <v>38</v>
      </c>
      <c r="F151" s="3" t="n">
        <v>230168</v>
      </c>
      <c r="G151" s="3" t="n">
        <v>93416</v>
      </c>
    </row>
    <row r="152" customFormat="false" ht="15" hidden="false" customHeight="false" outlineLevel="0" collapsed="false">
      <c r="A152" s="2" t="s">
        <v>24</v>
      </c>
      <c r="B152" s="2" t="n">
        <v>2023</v>
      </c>
      <c r="C152" s="2" t="s">
        <v>13</v>
      </c>
      <c r="D152" s="2" t="s">
        <v>11</v>
      </c>
      <c r="E152" s="2" t="n">
        <v>74</v>
      </c>
      <c r="F152" s="3" t="n">
        <v>460826</v>
      </c>
      <c r="G152" s="3" t="n">
        <v>183250</v>
      </c>
    </row>
    <row r="153" customFormat="false" ht="15" hidden="false" customHeight="false" outlineLevel="0" collapsed="false">
      <c r="A153" s="2" t="s">
        <v>24</v>
      </c>
      <c r="B153" s="2" t="n">
        <v>2023</v>
      </c>
      <c r="C153" s="2" t="s">
        <v>13</v>
      </c>
      <c r="D153" s="2" t="s">
        <v>12</v>
      </c>
      <c r="E153" s="2" t="n">
        <v>69</v>
      </c>
      <c r="F153" s="3" t="n">
        <v>353455</v>
      </c>
      <c r="G153" s="3" t="n">
        <v>142970</v>
      </c>
    </row>
    <row r="154" customFormat="false" ht="15" hidden="false" customHeight="false" outlineLevel="0" collapsed="false">
      <c r="A154" s="2" t="s">
        <v>24</v>
      </c>
      <c r="B154" s="2" t="n">
        <v>2023</v>
      </c>
      <c r="C154" s="2" t="s">
        <v>14</v>
      </c>
      <c r="D154" s="2" t="s">
        <v>9</v>
      </c>
      <c r="E154" s="2" t="n">
        <v>33</v>
      </c>
      <c r="F154" s="3" t="n">
        <v>17389</v>
      </c>
      <c r="G154" s="3" t="n">
        <v>1211</v>
      </c>
    </row>
    <row r="155" customFormat="false" ht="15" hidden="false" customHeight="false" outlineLevel="0" collapsed="false">
      <c r="A155" s="2" t="s">
        <v>24</v>
      </c>
      <c r="B155" s="2" t="n">
        <v>2023</v>
      </c>
      <c r="C155" s="2" t="s">
        <v>14</v>
      </c>
      <c r="D155" s="2" t="s">
        <v>10</v>
      </c>
      <c r="E155" s="2" t="n">
        <v>45</v>
      </c>
      <c r="F155" s="3" t="n">
        <v>18567</v>
      </c>
      <c r="G155" s="3" t="n">
        <v>1771</v>
      </c>
    </row>
    <row r="156" customFormat="false" ht="15" hidden="false" customHeight="false" outlineLevel="0" collapsed="false">
      <c r="A156" s="2" t="s">
        <v>24</v>
      </c>
      <c r="B156" s="2" t="n">
        <v>2023</v>
      </c>
      <c r="C156" s="2" t="s">
        <v>14</v>
      </c>
      <c r="D156" s="2" t="s">
        <v>11</v>
      </c>
      <c r="E156" s="2" t="n">
        <v>68</v>
      </c>
      <c r="F156" s="3" t="n">
        <v>32802</v>
      </c>
      <c r="G156" s="3" t="n">
        <v>2944</v>
      </c>
    </row>
    <row r="157" customFormat="false" ht="15" hidden="false" customHeight="false" outlineLevel="0" collapsed="false">
      <c r="A157" s="2" t="s">
        <v>24</v>
      </c>
      <c r="B157" s="2" t="n">
        <v>2023</v>
      </c>
      <c r="C157" s="2" t="s">
        <v>14</v>
      </c>
      <c r="D157" s="2" t="s">
        <v>12</v>
      </c>
      <c r="E157" s="2" t="n">
        <v>69</v>
      </c>
      <c r="F157" s="3" t="n">
        <v>28153</v>
      </c>
      <c r="G157" s="3" t="n">
        <v>2622</v>
      </c>
    </row>
    <row r="158" customFormat="false" ht="15" hidden="false" customHeight="false" outlineLevel="0" collapsed="false">
      <c r="A158" s="2" t="s">
        <v>24</v>
      </c>
      <c r="B158" s="2" t="n">
        <v>2023</v>
      </c>
      <c r="C158" s="2" t="s">
        <v>15</v>
      </c>
      <c r="D158" s="2" t="s">
        <v>9</v>
      </c>
      <c r="E158" s="2" t="n">
        <v>28</v>
      </c>
      <c r="F158" s="3" t="n">
        <v>368861</v>
      </c>
      <c r="G158" s="3" t="n">
        <v>80091</v>
      </c>
    </row>
    <row r="159" customFormat="false" ht="15" hidden="false" customHeight="false" outlineLevel="0" collapsed="false">
      <c r="A159" s="2" t="s">
        <v>24</v>
      </c>
      <c r="B159" s="2" t="n">
        <v>2023</v>
      </c>
      <c r="C159" s="2" t="s">
        <v>15</v>
      </c>
      <c r="D159" s="2" t="s">
        <v>10</v>
      </c>
      <c r="E159" s="2" t="n">
        <v>56</v>
      </c>
      <c r="F159" s="3" t="n">
        <v>1080746</v>
      </c>
      <c r="G159" s="3" t="n">
        <v>251969</v>
      </c>
    </row>
    <row r="160" customFormat="false" ht="15" hidden="false" customHeight="false" outlineLevel="0" collapsed="false">
      <c r="A160" s="2" t="s">
        <v>24</v>
      </c>
      <c r="B160" s="2" t="n">
        <v>2023</v>
      </c>
      <c r="C160" s="2" t="s">
        <v>15</v>
      </c>
      <c r="D160" s="2" t="s">
        <v>11</v>
      </c>
      <c r="E160" s="2" t="n">
        <v>75</v>
      </c>
      <c r="F160" s="3" t="n">
        <v>1314117</v>
      </c>
      <c r="G160" s="3" t="n">
        <v>270423</v>
      </c>
    </row>
    <row r="161" customFormat="false" ht="15" hidden="false" customHeight="false" outlineLevel="0" collapsed="false">
      <c r="A161" s="2" t="s">
        <v>24</v>
      </c>
      <c r="B161" s="2" t="n">
        <v>2023</v>
      </c>
      <c r="C161" s="2" t="s">
        <v>15</v>
      </c>
      <c r="D161" s="2" t="s">
        <v>12</v>
      </c>
      <c r="E161" s="2" t="n">
        <v>65</v>
      </c>
      <c r="F161" s="3" t="n">
        <v>951459</v>
      </c>
      <c r="G161" s="3" t="n">
        <v>237702</v>
      </c>
    </row>
    <row r="162" customFormat="false" ht="15" hidden="false" customHeight="false" outlineLevel="0" collapsed="false">
      <c r="A162" s="2" t="s">
        <v>25</v>
      </c>
      <c r="B162" s="2" t="n">
        <v>2023</v>
      </c>
      <c r="C162" s="2" t="s">
        <v>8</v>
      </c>
      <c r="D162" s="2" t="s">
        <v>9</v>
      </c>
      <c r="E162" s="2" t="n">
        <v>23</v>
      </c>
      <c r="F162" s="3" t="n">
        <v>1697222</v>
      </c>
      <c r="G162" s="3" t="n">
        <v>39794</v>
      </c>
    </row>
    <row r="163" customFormat="false" ht="15" hidden="false" customHeight="false" outlineLevel="0" collapsed="false">
      <c r="A163" s="2" t="s">
        <v>25</v>
      </c>
      <c r="B163" s="2" t="n">
        <v>2023</v>
      </c>
      <c r="C163" s="2" t="s">
        <v>8</v>
      </c>
      <c r="D163" s="2" t="s">
        <v>10</v>
      </c>
      <c r="E163" s="2" t="n">
        <v>46</v>
      </c>
      <c r="F163" s="3" t="n">
        <v>3154287</v>
      </c>
      <c r="G163" s="3" t="n">
        <v>104900</v>
      </c>
    </row>
    <row r="164" customFormat="false" ht="15" hidden="false" customHeight="false" outlineLevel="0" collapsed="false">
      <c r="A164" s="2" t="s">
        <v>25</v>
      </c>
      <c r="B164" s="2" t="n">
        <v>2023</v>
      </c>
      <c r="C164" s="2" t="s">
        <v>8</v>
      </c>
      <c r="D164" s="2" t="s">
        <v>11</v>
      </c>
      <c r="E164" s="2" t="n">
        <v>77</v>
      </c>
      <c r="F164" s="3" t="n">
        <v>5965406</v>
      </c>
      <c r="G164" s="3" t="n">
        <v>46619</v>
      </c>
    </row>
    <row r="165" customFormat="false" ht="15" hidden="false" customHeight="false" outlineLevel="0" collapsed="false">
      <c r="A165" s="2" t="s">
        <v>25</v>
      </c>
      <c r="B165" s="2" t="n">
        <v>2023</v>
      </c>
      <c r="C165" s="2" t="s">
        <v>8</v>
      </c>
      <c r="D165" s="2" t="s">
        <v>12</v>
      </c>
      <c r="E165" s="2" t="n">
        <v>75</v>
      </c>
      <c r="F165" s="3" t="n">
        <v>4416604</v>
      </c>
      <c r="G165" s="3" t="n">
        <v>80614</v>
      </c>
    </row>
    <row r="166" customFormat="false" ht="15" hidden="false" customHeight="false" outlineLevel="0" collapsed="false">
      <c r="A166" s="2" t="s">
        <v>25</v>
      </c>
      <c r="B166" s="2" t="n">
        <v>2023</v>
      </c>
      <c r="C166" s="2" t="s">
        <v>13</v>
      </c>
      <c r="D166" s="2" t="s">
        <v>9</v>
      </c>
      <c r="E166" s="2" t="n">
        <v>41</v>
      </c>
      <c r="F166" s="3" t="n">
        <v>237487</v>
      </c>
      <c r="G166" s="3" t="n">
        <v>98107</v>
      </c>
    </row>
    <row r="167" customFormat="false" ht="15" hidden="false" customHeight="false" outlineLevel="0" collapsed="false">
      <c r="A167" s="2" t="s">
        <v>25</v>
      </c>
      <c r="B167" s="2" t="n">
        <v>2023</v>
      </c>
      <c r="C167" s="2" t="s">
        <v>13</v>
      </c>
      <c r="D167" s="2" t="s">
        <v>10</v>
      </c>
      <c r="E167" s="2" t="n">
        <v>35</v>
      </c>
      <c r="F167" s="3" t="n">
        <v>191996</v>
      </c>
      <c r="G167" s="3" t="n">
        <v>76765</v>
      </c>
    </row>
    <row r="168" customFormat="false" ht="15" hidden="false" customHeight="false" outlineLevel="0" collapsed="false">
      <c r="A168" s="2" t="s">
        <v>25</v>
      </c>
      <c r="B168" s="2" t="n">
        <v>2023</v>
      </c>
      <c r="C168" s="2" t="s">
        <v>13</v>
      </c>
      <c r="D168" s="2" t="s">
        <v>11</v>
      </c>
      <c r="E168" s="2" t="n">
        <v>82</v>
      </c>
      <c r="F168" s="3" t="n">
        <v>533027</v>
      </c>
      <c r="G168" s="3" t="n">
        <v>210345</v>
      </c>
    </row>
    <row r="169" customFormat="false" ht="15" hidden="false" customHeight="false" outlineLevel="0" collapsed="false">
      <c r="A169" s="2" t="s">
        <v>25</v>
      </c>
      <c r="B169" s="2" t="n">
        <v>2023</v>
      </c>
      <c r="C169" s="2" t="s">
        <v>13</v>
      </c>
      <c r="D169" s="2" t="s">
        <v>12</v>
      </c>
      <c r="E169" s="2" t="n">
        <v>72</v>
      </c>
      <c r="F169" s="3" t="n">
        <v>399320</v>
      </c>
      <c r="G169" s="3" t="n">
        <v>162835</v>
      </c>
    </row>
    <row r="170" customFormat="false" ht="15" hidden="false" customHeight="false" outlineLevel="0" collapsed="false">
      <c r="A170" s="2" t="s">
        <v>25</v>
      </c>
      <c r="B170" s="2" t="n">
        <v>2023</v>
      </c>
      <c r="C170" s="2" t="s">
        <v>14</v>
      </c>
      <c r="D170" s="2" t="s">
        <v>9</v>
      </c>
      <c r="E170" s="2" t="n">
        <v>27</v>
      </c>
      <c r="F170" s="3" t="n">
        <v>9686</v>
      </c>
      <c r="G170" s="3" t="n">
        <v>797</v>
      </c>
    </row>
    <row r="171" customFormat="false" ht="15" hidden="false" customHeight="false" outlineLevel="0" collapsed="false">
      <c r="A171" s="2" t="s">
        <v>25</v>
      </c>
      <c r="B171" s="2" t="n">
        <v>2023</v>
      </c>
      <c r="C171" s="2" t="s">
        <v>14</v>
      </c>
      <c r="D171" s="2" t="s">
        <v>10</v>
      </c>
      <c r="E171" s="2" t="n">
        <v>45</v>
      </c>
      <c r="F171" s="3" t="n">
        <v>21427</v>
      </c>
      <c r="G171" s="3" t="n">
        <v>1728</v>
      </c>
    </row>
    <row r="172" customFormat="false" ht="15" hidden="false" customHeight="false" outlineLevel="0" collapsed="false">
      <c r="A172" s="2" t="s">
        <v>25</v>
      </c>
      <c r="B172" s="2" t="n">
        <v>2023</v>
      </c>
      <c r="C172" s="2" t="s">
        <v>14</v>
      </c>
      <c r="D172" s="2" t="s">
        <v>11</v>
      </c>
      <c r="E172" s="2" t="n">
        <v>67</v>
      </c>
      <c r="F172" s="3" t="n">
        <v>32270</v>
      </c>
      <c r="G172" s="3" t="n">
        <v>2888</v>
      </c>
    </row>
    <row r="173" customFormat="false" ht="15" hidden="false" customHeight="false" outlineLevel="0" collapsed="false">
      <c r="A173" s="2" t="s">
        <v>25</v>
      </c>
      <c r="B173" s="2" t="n">
        <v>2023</v>
      </c>
      <c r="C173" s="2" t="s">
        <v>14</v>
      </c>
      <c r="D173" s="2" t="s">
        <v>12</v>
      </c>
      <c r="E173" s="2" t="n">
        <v>57</v>
      </c>
      <c r="F173" s="3" t="n">
        <v>25034</v>
      </c>
      <c r="G173" s="3" t="n">
        <v>2245</v>
      </c>
    </row>
    <row r="174" customFormat="false" ht="15" hidden="false" customHeight="false" outlineLevel="0" collapsed="false">
      <c r="A174" s="2" t="s">
        <v>25</v>
      </c>
      <c r="B174" s="2" t="n">
        <v>2023</v>
      </c>
      <c r="C174" s="2" t="s">
        <v>15</v>
      </c>
      <c r="D174" s="2" t="s">
        <v>9</v>
      </c>
      <c r="E174" s="2" t="n">
        <v>28</v>
      </c>
      <c r="F174" s="3" t="n">
        <v>561435</v>
      </c>
      <c r="G174" s="3" t="n">
        <v>112511</v>
      </c>
    </row>
    <row r="175" customFormat="false" ht="15" hidden="false" customHeight="false" outlineLevel="0" collapsed="false">
      <c r="A175" s="2" t="s">
        <v>25</v>
      </c>
      <c r="B175" s="2" t="n">
        <v>2023</v>
      </c>
      <c r="C175" s="2" t="s">
        <v>15</v>
      </c>
      <c r="D175" s="2" t="s">
        <v>10</v>
      </c>
      <c r="E175" s="2" t="n">
        <v>31</v>
      </c>
      <c r="F175" s="3" t="n">
        <v>261888</v>
      </c>
      <c r="G175" s="3" t="n">
        <v>62708</v>
      </c>
    </row>
    <row r="176" customFormat="false" ht="15" hidden="false" customHeight="false" outlineLevel="0" collapsed="false">
      <c r="A176" s="2" t="s">
        <v>25</v>
      </c>
      <c r="B176" s="2" t="n">
        <v>2023</v>
      </c>
      <c r="C176" s="2" t="s">
        <v>15</v>
      </c>
      <c r="D176" s="2" t="s">
        <v>11</v>
      </c>
      <c r="E176" s="2" t="n">
        <v>76</v>
      </c>
      <c r="F176" s="3" t="n">
        <v>1163348</v>
      </c>
      <c r="G176" s="3" t="n">
        <v>257286</v>
      </c>
    </row>
    <row r="177" customFormat="false" ht="15" hidden="false" customHeight="false" outlineLevel="0" collapsed="false">
      <c r="A177" s="2" t="s">
        <v>25</v>
      </c>
      <c r="B177" s="2" t="n">
        <v>2023</v>
      </c>
      <c r="C177" s="2" t="s">
        <v>15</v>
      </c>
      <c r="D177" s="2" t="s">
        <v>12</v>
      </c>
      <c r="E177" s="2" t="n">
        <v>77</v>
      </c>
      <c r="F177" s="3" t="n">
        <v>1309486</v>
      </c>
      <c r="G177" s="3" t="n">
        <v>290924</v>
      </c>
    </row>
    <row r="178" customFormat="false" ht="15" hidden="false" customHeight="false" outlineLevel="0" collapsed="false">
      <c r="A178" s="2" t="s">
        <v>26</v>
      </c>
      <c r="B178" s="2" t="n">
        <v>2023</v>
      </c>
      <c r="C178" s="2" t="s">
        <v>8</v>
      </c>
      <c r="D178" s="2" t="s">
        <v>9</v>
      </c>
      <c r="E178" s="2" t="n">
        <v>29</v>
      </c>
      <c r="F178" s="3" t="n">
        <v>1786345</v>
      </c>
      <c r="G178" s="3" t="n">
        <v>83491</v>
      </c>
    </row>
    <row r="179" customFormat="false" ht="15" hidden="false" customHeight="false" outlineLevel="0" collapsed="false">
      <c r="A179" s="2" t="s">
        <v>26</v>
      </c>
      <c r="B179" s="2" t="n">
        <v>2023</v>
      </c>
      <c r="C179" s="2" t="s">
        <v>8</v>
      </c>
      <c r="D179" s="2" t="s">
        <v>10</v>
      </c>
      <c r="E179" s="2" t="n">
        <v>33</v>
      </c>
      <c r="F179" s="3" t="n">
        <v>1963925</v>
      </c>
      <c r="G179" s="3" t="n">
        <v>35193</v>
      </c>
    </row>
    <row r="180" customFormat="false" ht="15" hidden="false" customHeight="false" outlineLevel="0" collapsed="false">
      <c r="A180" s="2" t="s">
        <v>26</v>
      </c>
      <c r="B180" s="2" t="n">
        <v>2023</v>
      </c>
      <c r="C180" s="2" t="s">
        <v>8</v>
      </c>
      <c r="D180" s="2" t="s">
        <v>11</v>
      </c>
      <c r="E180" s="2" t="n">
        <v>74</v>
      </c>
      <c r="F180" s="3" t="n">
        <v>5121774</v>
      </c>
      <c r="G180" s="3" t="n">
        <v>258578</v>
      </c>
    </row>
    <row r="181" customFormat="false" ht="15" hidden="false" customHeight="false" outlineLevel="0" collapsed="false">
      <c r="A181" s="2" t="s">
        <v>26</v>
      </c>
      <c r="B181" s="2" t="n">
        <v>2023</v>
      </c>
      <c r="C181" s="2" t="s">
        <v>8</v>
      </c>
      <c r="D181" s="2" t="s">
        <v>12</v>
      </c>
      <c r="E181" s="2" t="n">
        <v>48</v>
      </c>
      <c r="F181" s="3" t="n">
        <v>3409421</v>
      </c>
      <c r="G181" s="3" t="n">
        <v>205077</v>
      </c>
    </row>
    <row r="182" customFormat="false" ht="15" hidden="false" customHeight="false" outlineLevel="0" collapsed="false">
      <c r="A182" s="2" t="s">
        <v>26</v>
      </c>
      <c r="B182" s="2" t="n">
        <v>2023</v>
      </c>
      <c r="C182" s="2" t="s">
        <v>13</v>
      </c>
      <c r="D182" s="2" t="s">
        <v>9</v>
      </c>
      <c r="E182" s="2" t="n">
        <v>32</v>
      </c>
      <c r="F182" s="3" t="n">
        <v>169760</v>
      </c>
      <c r="G182" s="3" t="n">
        <v>69507</v>
      </c>
    </row>
    <row r="183" customFormat="false" ht="15" hidden="false" customHeight="false" outlineLevel="0" collapsed="false">
      <c r="A183" s="2" t="s">
        <v>26</v>
      </c>
      <c r="B183" s="2" t="n">
        <v>2023</v>
      </c>
      <c r="C183" s="2" t="s">
        <v>13</v>
      </c>
      <c r="D183" s="2" t="s">
        <v>10</v>
      </c>
      <c r="E183" s="2" t="n">
        <v>44</v>
      </c>
      <c r="F183" s="3" t="n">
        <v>207140</v>
      </c>
      <c r="G183" s="3" t="n">
        <v>80907</v>
      </c>
    </row>
    <row r="184" customFormat="false" ht="15" hidden="false" customHeight="false" outlineLevel="0" collapsed="false">
      <c r="A184" s="2" t="s">
        <v>26</v>
      </c>
      <c r="B184" s="2" t="n">
        <v>2023</v>
      </c>
      <c r="C184" s="2" t="s">
        <v>13</v>
      </c>
      <c r="D184" s="2" t="s">
        <v>11</v>
      </c>
      <c r="E184" s="2" t="n">
        <v>84</v>
      </c>
      <c r="F184" s="3" t="n">
        <v>479776</v>
      </c>
      <c r="G184" s="3" t="n">
        <v>195635</v>
      </c>
    </row>
    <row r="185" customFormat="false" ht="15" hidden="false" customHeight="false" outlineLevel="0" collapsed="false">
      <c r="A185" s="2" t="s">
        <v>26</v>
      </c>
      <c r="B185" s="2" t="n">
        <v>2023</v>
      </c>
      <c r="C185" s="2" t="s">
        <v>13</v>
      </c>
      <c r="D185" s="2" t="s">
        <v>12</v>
      </c>
      <c r="E185" s="2" t="n">
        <v>58</v>
      </c>
      <c r="F185" s="3" t="n">
        <v>425002</v>
      </c>
      <c r="G185" s="3" t="n">
        <v>175684</v>
      </c>
    </row>
    <row r="186" customFormat="false" ht="15" hidden="false" customHeight="false" outlineLevel="0" collapsed="false">
      <c r="A186" s="2" t="s">
        <v>26</v>
      </c>
      <c r="B186" s="2" t="n">
        <v>2023</v>
      </c>
      <c r="C186" s="2" t="s">
        <v>14</v>
      </c>
      <c r="D186" s="2" t="s">
        <v>9</v>
      </c>
      <c r="E186" s="2" t="n">
        <v>32</v>
      </c>
      <c r="F186" s="3" t="n">
        <v>11565</v>
      </c>
      <c r="G186" s="3" t="n">
        <v>1514</v>
      </c>
    </row>
    <row r="187" customFormat="false" ht="15" hidden="false" customHeight="false" outlineLevel="0" collapsed="false">
      <c r="A187" s="2" t="s">
        <v>26</v>
      </c>
      <c r="B187" s="2" t="n">
        <v>2023</v>
      </c>
      <c r="C187" s="2" t="s">
        <v>14</v>
      </c>
      <c r="D187" s="2" t="s">
        <v>10</v>
      </c>
      <c r="E187" s="2" t="n">
        <v>46</v>
      </c>
      <c r="F187" s="3" t="n">
        <v>20471</v>
      </c>
      <c r="G187" s="3" t="n">
        <v>1349</v>
      </c>
    </row>
    <row r="188" customFormat="false" ht="15" hidden="false" customHeight="false" outlineLevel="0" collapsed="false">
      <c r="A188" s="2" t="s">
        <v>26</v>
      </c>
      <c r="B188" s="2" t="n">
        <v>2023</v>
      </c>
      <c r="C188" s="2" t="s">
        <v>14</v>
      </c>
      <c r="D188" s="2" t="s">
        <v>11</v>
      </c>
      <c r="E188" s="2" t="n">
        <v>72</v>
      </c>
      <c r="F188" s="3" t="n">
        <v>35676</v>
      </c>
      <c r="G188" s="3" t="n">
        <v>3136</v>
      </c>
    </row>
    <row r="189" customFormat="false" ht="15" hidden="false" customHeight="false" outlineLevel="0" collapsed="false">
      <c r="A189" s="2" t="s">
        <v>26</v>
      </c>
      <c r="B189" s="2" t="n">
        <v>2023</v>
      </c>
      <c r="C189" s="2" t="s">
        <v>14</v>
      </c>
      <c r="D189" s="2" t="s">
        <v>12</v>
      </c>
      <c r="E189" s="2" t="n">
        <v>50</v>
      </c>
      <c r="F189" s="3" t="n">
        <v>25561</v>
      </c>
      <c r="G189" s="3" t="n">
        <v>2543</v>
      </c>
    </row>
    <row r="190" customFormat="false" ht="15" hidden="false" customHeight="false" outlineLevel="0" collapsed="false">
      <c r="A190" s="2" t="s">
        <v>26</v>
      </c>
      <c r="B190" s="2" t="n">
        <v>2023</v>
      </c>
      <c r="C190" s="2" t="s">
        <v>15</v>
      </c>
      <c r="D190" s="2" t="s">
        <v>9</v>
      </c>
      <c r="E190" s="2" t="n">
        <v>36</v>
      </c>
      <c r="F190" s="3" t="n">
        <v>366355</v>
      </c>
      <c r="G190" s="3" t="n">
        <v>90069</v>
      </c>
    </row>
    <row r="191" customFormat="false" ht="15" hidden="false" customHeight="false" outlineLevel="0" collapsed="false">
      <c r="A191" s="2" t="s">
        <v>26</v>
      </c>
      <c r="B191" s="2" t="n">
        <v>2023</v>
      </c>
      <c r="C191" s="2" t="s">
        <v>15</v>
      </c>
      <c r="D191" s="2" t="s">
        <v>10</v>
      </c>
      <c r="E191" s="2" t="n">
        <v>49</v>
      </c>
      <c r="F191" s="3" t="n">
        <v>807544</v>
      </c>
      <c r="G191" s="3" t="n">
        <v>210707</v>
      </c>
    </row>
    <row r="192" customFormat="false" ht="15" hidden="false" customHeight="false" outlineLevel="0" collapsed="false">
      <c r="A192" s="2" t="s">
        <v>26</v>
      </c>
      <c r="B192" s="2" t="n">
        <v>2023</v>
      </c>
      <c r="C192" s="2" t="s">
        <v>15</v>
      </c>
      <c r="D192" s="2" t="s">
        <v>11</v>
      </c>
      <c r="E192" s="2" t="n">
        <v>84</v>
      </c>
      <c r="F192" s="3" t="n">
        <v>1456623</v>
      </c>
      <c r="G192" s="3" t="n">
        <v>331041</v>
      </c>
    </row>
    <row r="193" customFormat="false" ht="15" hidden="false" customHeight="false" outlineLevel="0" collapsed="false">
      <c r="A193" s="2" t="s">
        <v>26</v>
      </c>
      <c r="B193" s="2" t="n">
        <v>2023</v>
      </c>
      <c r="C193" s="2" t="s">
        <v>15</v>
      </c>
      <c r="D193" s="2" t="s">
        <v>12</v>
      </c>
      <c r="E193" s="2" t="n">
        <v>70</v>
      </c>
      <c r="F193" s="3" t="n">
        <v>961519</v>
      </c>
      <c r="G193" s="3" t="n">
        <v>199236</v>
      </c>
    </row>
    <row r="194" customFormat="false" ht="15" hidden="false" customHeight="false" outlineLevel="0" collapsed="false">
      <c r="A194" s="2" t="s">
        <v>27</v>
      </c>
      <c r="B194" s="2" t="n">
        <v>2024</v>
      </c>
      <c r="C194" s="2" t="s">
        <v>8</v>
      </c>
      <c r="D194" s="2" t="s">
        <v>9</v>
      </c>
      <c r="E194" s="2" t="n">
        <v>13</v>
      </c>
      <c r="F194" s="3" t="n">
        <v>752163</v>
      </c>
      <c r="G194" s="3" t="n">
        <v>10929</v>
      </c>
    </row>
    <row r="195" customFormat="false" ht="15" hidden="false" customHeight="false" outlineLevel="0" collapsed="false">
      <c r="A195" s="2" t="s">
        <v>27</v>
      </c>
      <c r="B195" s="2" t="n">
        <v>2024</v>
      </c>
      <c r="C195" s="2" t="s">
        <v>8</v>
      </c>
      <c r="D195" s="2" t="s">
        <v>10</v>
      </c>
      <c r="E195" s="2" t="n">
        <v>23</v>
      </c>
      <c r="F195" s="3" t="n">
        <v>1847895</v>
      </c>
      <c r="G195" s="3" t="n">
        <v>25210</v>
      </c>
    </row>
    <row r="196" customFormat="false" ht="15" hidden="false" customHeight="false" outlineLevel="0" collapsed="false">
      <c r="A196" s="2" t="s">
        <v>27</v>
      </c>
      <c r="B196" s="2" t="n">
        <v>2024</v>
      </c>
      <c r="C196" s="2" t="s">
        <v>8</v>
      </c>
      <c r="D196" s="2" t="s">
        <v>11</v>
      </c>
      <c r="E196" s="2" t="n">
        <v>57</v>
      </c>
      <c r="F196" s="3" t="n">
        <v>2991731</v>
      </c>
      <c r="G196" s="3" t="n">
        <v>111285</v>
      </c>
    </row>
    <row r="197" customFormat="false" ht="15" hidden="false" customHeight="false" outlineLevel="0" collapsed="false">
      <c r="A197" s="2" t="s">
        <v>27</v>
      </c>
      <c r="B197" s="2" t="n">
        <v>2024</v>
      </c>
      <c r="C197" s="2" t="s">
        <v>8</v>
      </c>
      <c r="D197" s="2" t="s">
        <v>12</v>
      </c>
      <c r="E197" s="2" t="n">
        <v>49</v>
      </c>
      <c r="F197" s="3" t="n">
        <v>3594613</v>
      </c>
      <c r="G197" s="3" t="n">
        <v>21638</v>
      </c>
    </row>
    <row r="198" customFormat="false" ht="15" hidden="false" customHeight="false" outlineLevel="0" collapsed="false">
      <c r="A198" s="2" t="s">
        <v>27</v>
      </c>
      <c r="B198" s="2" t="n">
        <v>2024</v>
      </c>
      <c r="C198" s="2" t="s">
        <v>13</v>
      </c>
      <c r="D198" s="2" t="s">
        <v>9</v>
      </c>
      <c r="E198" s="2" t="n">
        <v>10</v>
      </c>
      <c r="F198" s="3" t="n">
        <v>68453</v>
      </c>
      <c r="G198" s="3" t="n">
        <v>27330</v>
      </c>
    </row>
    <row r="199" customFormat="false" ht="15" hidden="false" customHeight="false" outlineLevel="0" collapsed="false">
      <c r="A199" s="2" t="s">
        <v>27</v>
      </c>
      <c r="B199" s="2" t="n">
        <v>2024</v>
      </c>
      <c r="C199" s="2" t="s">
        <v>13</v>
      </c>
      <c r="D199" s="2" t="s">
        <v>10</v>
      </c>
      <c r="E199" s="2" t="n">
        <v>28</v>
      </c>
      <c r="F199" s="3" t="n">
        <v>183477</v>
      </c>
      <c r="G199" s="3" t="n">
        <v>78365</v>
      </c>
    </row>
    <row r="200" customFormat="false" ht="15" hidden="false" customHeight="false" outlineLevel="0" collapsed="false">
      <c r="A200" s="2" t="s">
        <v>27</v>
      </c>
      <c r="B200" s="2" t="n">
        <v>2024</v>
      </c>
      <c r="C200" s="2" t="s">
        <v>13</v>
      </c>
      <c r="D200" s="2" t="s">
        <v>11</v>
      </c>
      <c r="E200" s="2" t="n">
        <v>47</v>
      </c>
      <c r="F200" s="3" t="n">
        <v>259305</v>
      </c>
      <c r="G200" s="3" t="n">
        <v>98377</v>
      </c>
    </row>
    <row r="201" customFormat="false" ht="15" hidden="false" customHeight="false" outlineLevel="0" collapsed="false">
      <c r="A201" s="2" t="s">
        <v>27</v>
      </c>
      <c r="B201" s="2" t="n">
        <v>2024</v>
      </c>
      <c r="C201" s="2" t="s">
        <v>13</v>
      </c>
      <c r="D201" s="2" t="s">
        <v>12</v>
      </c>
      <c r="E201" s="2" t="n">
        <v>58</v>
      </c>
      <c r="F201" s="3" t="n">
        <v>359715</v>
      </c>
      <c r="G201" s="3" t="n">
        <v>141351</v>
      </c>
    </row>
    <row r="202" customFormat="false" ht="15" hidden="false" customHeight="false" outlineLevel="0" collapsed="false">
      <c r="A202" s="2" t="s">
        <v>27</v>
      </c>
      <c r="B202" s="2" t="n">
        <v>2024</v>
      </c>
      <c r="C202" s="2" t="s">
        <v>14</v>
      </c>
      <c r="D202" s="2" t="s">
        <v>9</v>
      </c>
      <c r="E202" s="2" t="n">
        <v>19</v>
      </c>
      <c r="F202" s="3" t="n">
        <v>11314</v>
      </c>
      <c r="G202" s="3" t="n">
        <v>955</v>
      </c>
    </row>
    <row r="203" customFormat="false" ht="15" hidden="false" customHeight="false" outlineLevel="0" collapsed="false">
      <c r="A203" s="2" t="s">
        <v>27</v>
      </c>
      <c r="B203" s="2" t="n">
        <v>2024</v>
      </c>
      <c r="C203" s="2" t="s">
        <v>14</v>
      </c>
      <c r="D203" s="2" t="s">
        <v>10</v>
      </c>
      <c r="E203" s="2" t="n">
        <v>28</v>
      </c>
      <c r="F203" s="3" t="n">
        <v>9678</v>
      </c>
      <c r="G203" s="3" t="n">
        <v>841</v>
      </c>
    </row>
    <row r="204" customFormat="false" ht="15" hidden="false" customHeight="false" outlineLevel="0" collapsed="false">
      <c r="A204" s="2" t="s">
        <v>27</v>
      </c>
      <c r="B204" s="2" t="n">
        <v>2024</v>
      </c>
      <c r="C204" s="2" t="s">
        <v>14</v>
      </c>
      <c r="D204" s="2" t="s">
        <v>11</v>
      </c>
      <c r="E204" s="2" t="n">
        <v>53</v>
      </c>
      <c r="F204" s="3" t="n">
        <v>26947</v>
      </c>
      <c r="G204" s="3" t="n">
        <v>2408</v>
      </c>
    </row>
    <row r="205" customFormat="false" ht="15" hidden="false" customHeight="false" outlineLevel="0" collapsed="false">
      <c r="A205" s="2" t="s">
        <v>27</v>
      </c>
      <c r="B205" s="2" t="n">
        <v>2024</v>
      </c>
      <c r="C205" s="2" t="s">
        <v>14</v>
      </c>
      <c r="D205" s="2" t="s">
        <v>12</v>
      </c>
      <c r="E205" s="2" t="n">
        <v>42</v>
      </c>
      <c r="F205" s="3" t="n">
        <v>18746</v>
      </c>
      <c r="G205" s="3" t="n">
        <v>1772</v>
      </c>
    </row>
    <row r="206" customFormat="false" ht="15" hidden="false" customHeight="false" outlineLevel="0" collapsed="false">
      <c r="A206" s="2" t="s">
        <v>27</v>
      </c>
      <c r="B206" s="2" t="n">
        <v>2024</v>
      </c>
      <c r="C206" s="2" t="s">
        <v>15</v>
      </c>
      <c r="D206" s="2" t="s">
        <v>9</v>
      </c>
      <c r="E206" s="2" t="n">
        <v>20</v>
      </c>
      <c r="F206" s="3" t="n">
        <v>178196</v>
      </c>
      <c r="G206" s="3" t="n">
        <v>35046</v>
      </c>
    </row>
    <row r="207" customFormat="false" ht="15" hidden="false" customHeight="false" outlineLevel="0" collapsed="false">
      <c r="A207" s="2" t="s">
        <v>27</v>
      </c>
      <c r="B207" s="2" t="n">
        <v>2024</v>
      </c>
      <c r="C207" s="2" t="s">
        <v>15</v>
      </c>
      <c r="D207" s="2" t="s">
        <v>10</v>
      </c>
      <c r="E207" s="2" t="n">
        <v>29</v>
      </c>
      <c r="F207" s="3" t="n">
        <v>345298</v>
      </c>
      <c r="G207" s="3" t="n">
        <v>77620</v>
      </c>
    </row>
    <row r="208" customFormat="false" ht="15" hidden="false" customHeight="false" outlineLevel="0" collapsed="false">
      <c r="A208" s="2" t="s">
        <v>27</v>
      </c>
      <c r="B208" s="2" t="n">
        <v>2024</v>
      </c>
      <c r="C208" s="2" t="s">
        <v>15</v>
      </c>
      <c r="D208" s="2" t="s">
        <v>11</v>
      </c>
      <c r="E208" s="2" t="n">
        <v>55</v>
      </c>
      <c r="F208" s="3" t="n">
        <v>932592</v>
      </c>
      <c r="G208" s="3" t="n">
        <v>204557</v>
      </c>
    </row>
    <row r="209" customFormat="false" ht="15" hidden="false" customHeight="false" outlineLevel="0" collapsed="false">
      <c r="A209" s="2" t="s">
        <v>27</v>
      </c>
      <c r="B209" s="2" t="n">
        <v>2024</v>
      </c>
      <c r="C209" s="2" t="s">
        <v>15</v>
      </c>
      <c r="D209" s="2" t="s">
        <v>12</v>
      </c>
      <c r="E209" s="2" t="n">
        <v>49</v>
      </c>
      <c r="F209" s="3" t="n">
        <v>970504</v>
      </c>
      <c r="G209" s="3" t="n">
        <v>207609</v>
      </c>
    </row>
    <row r="210" customFormat="false" ht="15" hidden="false" customHeight="false" outlineLevel="0" collapsed="false">
      <c r="A210" s="2" t="s">
        <v>28</v>
      </c>
      <c r="B210" s="2" t="n">
        <v>2024</v>
      </c>
      <c r="C210" s="2" t="s">
        <v>8</v>
      </c>
      <c r="D210" s="2" t="s">
        <v>9</v>
      </c>
      <c r="E210" s="2" t="n">
        <v>28</v>
      </c>
      <c r="F210" s="3" t="n">
        <v>2420090</v>
      </c>
      <c r="G210" s="3" t="n">
        <v>132798</v>
      </c>
    </row>
    <row r="211" customFormat="false" ht="15" hidden="false" customHeight="false" outlineLevel="0" collapsed="false">
      <c r="A211" s="2" t="s">
        <v>28</v>
      </c>
      <c r="B211" s="2" t="n">
        <v>2024</v>
      </c>
      <c r="C211" s="2" t="s">
        <v>8</v>
      </c>
      <c r="D211" s="2" t="s">
        <v>10</v>
      </c>
      <c r="E211" s="2" t="n">
        <v>50</v>
      </c>
      <c r="F211" s="3" t="n">
        <v>2053518</v>
      </c>
      <c r="G211" s="3" t="n">
        <v>23158</v>
      </c>
    </row>
    <row r="212" customFormat="false" ht="15" hidden="false" customHeight="false" outlineLevel="0" collapsed="false">
      <c r="A212" s="2" t="s">
        <v>28</v>
      </c>
      <c r="B212" s="2" t="n">
        <v>2024</v>
      </c>
      <c r="C212" s="2" t="s">
        <v>8</v>
      </c>
      <c r="D212" s="2" t="s">
        <v>11</v>
      </c>
      <c r="E212" s="2" t="n">
        <v>61</v>
      </c>
      <c r="F212" s="3" t="n">
        <v>4842014</v>
      </c>
      <c r="G212" s="3" t="n">
        <v>227005</v>
      </c>
    </row>
    <row r="213" customFormat="false" ht="15" hidden="false" customHeight="false" outlineLevel="0" collapsed="false">
      <c r="A213" s="2" t="s">
        <v>28</v>
      </c>
      <c r="B213" s="2" t="n">
        <v>2024</v>
      </c>
      <c r="C213" s="2" t="s">
        <v>8</v>
      </c>
      <c r="D213" s="2" t="s">
        <v>12</v>
      </c>
      <c r="E213" s="2" t="n">
        <v>45</v>
      </c>
      <c r="F213" s="3" t="n">
        <v>3312981</v>
      </c>
      <c r="G213" s="3" t="n">
        <v>160569</v>
      </c>
    </row>
    <row r="214" customFormat="false" ht="15" hidden="false" customHeight="false" outlineLevel="0" collapsed="false">
      <c r="A214" s="2" t="s">
        <v>28</v>
      </c>
      <c r="B214" s="2" t="n">
        <v>2024</v>
      </c>
      <c r="C214" s="2" t="s">
        <v>13</v>
      </c>
      <c r="D214" s="2" t="s">
        <v>9</v>
      </c>
      <c r="E214" s="2" t="n">
        <v>29</v>
      </c>
      <c r="F214" s="3" t="n">
        <v>180861</v>
      </c>
      <c r="G214" s="3" t="n">
        <v>77347</v>
      </c>
    </row>
    <row r="215" customFormat="false" ht="15" hidden="false" customHeight="false" outlineLevel="0" collapsed="false">
      <c r="A215" s="2" t="s">
        <v>28</v>
      </c>
      <c r="B215" s="2" t="n">
        <v>2024</v>
      </c>
      <c r="C215" s="2" t="s">
        <v>13</v>
      </c>
      <c r="D215" s="2" t="s">
        <v>10</v>
      </c>
      <c r="E215" s="2" t="n">
        <v>53</v>
      </c>
      <c r="F215" s="3" t="n">
        <v>323327</v>
      </c>
      <c r="G215" s="3" t="n">
        <v>135411</v>
      </c>
    </row>
    <row r="216" customFormat="false" ht="15" hidden="false" customHeight="false" outlineLevel="0" collapsed="false">
      <c r="A216" s="2" t="s">
        <v>28</v>
      </c>
      <c r="B216" s="2" t="n">
        <v>2024</v>
      </c>
      <c r="C216" s="2" t="s">
        <v>13</v>
      </c>
      <c r="D216" s="2" t="s">
        <v>11</v>
      </c>
      <c r="E216" s="2" t="n">
        <v>51</v>
      </c>
      <c r="F216" s="3" t="n">
        <v>255030</v>
      </c>
      <c r="G216" s="3" t="n">
        <v>106368</v>
      </c>
    </row>
    <row r="217" customFormat="false" ht="15" hidden="false" customHeight="false" outlineLevel="0" collapsed="false">
      <c r="A217" s="2" t="s">
        <v>28</v>
      </c>
      <c r="B217" s="2" t="n">
        <v>2024</v>
      </c>
      <c r="C217" s="2" t="s">
        <v>13</v>
      </c>
      <c r="D217" s="2" t="s">
        <v>12</v>
      </c>
      <c r="E217" s="2" t="n">
        <v>40</v>
      </c>
      <c r="F217" s="3" t="n">
        <v>179180</v>
      </c>
      <c r="G217" s="3" t="n">
        <v>71174</v>
      </c>
    </row>
    <row r="218" customFormat="false" ht="15" hidden="false" customHeight="false" outlineLevel="0" collapsed="false">
      <c r="A218" s="2" t="s">
        <v>28</v>
      </c>
      <c r="B218" s="2" t="n">
        <v>2024</v>
      </c>
      <c r="C218" s="2" t="s">
        <v>14</v>
      </c>
      <c r="D218" s="2" t="s">
        <v>9</v>
      </c>
      <c r="E218" s="2" t="n">
        <v>30</v>
      </c>
      <c r="F218" s="3" t="n">
        <v>14594</v>
      </c>
      <c r="G218" s="3" t="n">
        <v>1649</v>
      </c>
    </row>
    <row r="219" customFormat="false" ht="15" hidden="false" customHeight="false" outlineLevel="0" collapsed="false">
      <c r="A219" s="2" t="s">
        <v>28</v>
      </c>
      <c r="B219" s="2" t="n">
        <v>2024</v>
      </c>
      <c r="C219" s="2" t="s">
        <v>14</v>
      </c>
      <c r="D219" s="2" t="s">
        <v>10</v>
      </c>
      <c r="E219" s="2" t="n">
        <v>45</v>
      </c>
      <c r="F219" s="3" t="n">
        <v>19507</v>
      </c>
      <c r="G219" s="3" t="n">
        <v>1911</v>
      </c>
    </row>
    <row r="220" customFormat="false" ht="15" hidden="false" customHeight="false" outlineLevel="0" collapsed="false">
      <c r="A220" s="2" t="s">
        <v>28</v>
      </c>
      <c r="B220" s="2" t="n">
        <v>2024</v>
      </c>
      <c r="C220" s="2" t="s">
        <v>14</v>
      </c>
      <c r="D220" s="2" t="s">
        <v>11</v>
      </c>
      <c r="E220" s="2" t="n">
        <v>68</v>
      </c>
      <c r="F220" s="3" t="n">
        <v>30152</v>
      </c>
      <c r="G220" s="3" t="n">
        <v>2708</v>
      </c>
    </row>
    <row r="221" customFormat="false" ht="15" hidden="false" customHeight="false" outlineLevel="0" collapsed="false">
      <c r="A221" s="2" t="s">
        <v>28</v>
      </c>
      <c r="B221" s="2" t="n">
        <v>2024</v>
      </c>
      <c r="C221" s="2" t="s">
        <v>14</v>
      </c>
      <c r="D221" s="2" t="s">
        <v>12</v>
      </c>
      <c r="E221" s="2" t="n">
        <v>38</v>
      </c>
      <c r="F221" s="3" t="n">
        <v>20435</v>
      </c>
      <c r="G221" s="3" t="n">
        <v>2344</v>
      </c>
    </row>
    <row r="222" customFormat="false" ht="15" hidden="false" customHeight="false" outlineLevel="0" collapsed="false">
      <c r="A222" s="2" t="s">
        <v>28</v>
      </c>
      <c r="B222" s="2" t="n">
        <v>2024</v>
      </c>
      <c r="C222" s="2" t="s">
        <v>15</v>
      </c>
      <c r="D222" s="2" t="s">
        <v>9</v>
      </c>
      <c r="E222" s="2" t="n">
        <v>26</v>
      </c>
      <c r="F222" s="3" t="n">
        <v>193597</v>
      </c>
      <c r="G222" s="3" t="n">
        <v>42763</v>
      </c>
    </row>
    <row r="223" customFormat="false" ht="15" hidden="false" customHeight="false" outlineLevel="0" collapsed="false">
      <c r="A223" s="2" t="s">
        <v>28</v>
      </c>
      <c r="B223" s="2" t="n">
        <v>2024</v>
      </c>
      <c r="C223" s="2" t="s">
        <v>15</v>
      </c>
      <c r="D223" s="2" t="s">
        <v>10</v>
      </c>
      <c r="E223" s="2" t="n">
        <v>55</v>
      </c>
      <c r="F223" s="3" t="n">
        <v>826170</v>
      </c>
      <c r="G223" s="3" t="n">
        <v>178856</v>
      </c>
    </row>
    <row r="224" customFormat="false" ht="15" hidden="false" customHeight="false" outlineLevel="0" collapsed="false">
      <c r="A224" s="2" t="s">
        <v>28</v>
      </c>
      <c r="B224" s="2" t="n">
        <v>2024</v>
      </c>
      <c r="C224" s="2" t="s">
        <v>15</v>
      </c>
      <c r="D224" s="2" t="s">
        <v>11</v>
      </c>
      <c r="E224" s="2" t="n">
        <v>52</v>
      </c>
      <c r="F224" s="3" t="n">
        <v>789797</v>
      </c>
      <c r="G224" s="3" t="n">
        <v>190743</v>
      </c>
    </row>
    <row r="225" customFormat="false" ht="15" hidden="false" customHeight="false" outlineLevel="0" collapsed="false">
      <c r="A225" s="2" t="s">
        <v>28</v>
      </c>
      <c r="B225" s="2" t="n">
        <v>2024</v>
      </c>
      <c r="C225" s="2" t="s">
        <v>15</v>
      </c>
      <c r="D225" s="2" t="s">
        <v>12</v>
      </c>
      <c r="E225" s="2" t="n">
        <v>39</v>
      </c>
      <c r="F225" s="3" t="n">
        <v>559353</v>
      </c>
      <c r="G225" s="3" t="n">
        <v>124736</v>
      </c>
    </row>
    <row r="226" customFormat="false" ht="15" hidden="false" customHeight="false" outlineLevel="0" collapsed="false">
      <c r="A226" s="2" t="s">
        <v>29</v>
      </c>
      <c r="B226" s="2" t="n">
        <v>2024</v>
      </c>
      <c r="C226" s="2" t="s">
        <v>8</v>
      </c>
      <c r="D226" s="2" t="s">
        <v>9</v>
      </c>
      <c r="E226" s="2" t="n">
        <v>36</v>
      </c>
      <c r="F226" s="3" t="n">
        <v>2465337</v>
      </c>
      <c r="G226" s="3" t="n">
        <v>141625</v>
      </c>
    </row>
    <row r="227" customFormat="false" ht="15" hidden="false" customHeight="false" outlineLevel="0" collapsed="false">
      <c r="A227" s="2" t="s">
        <v>29</v>
      </c>
      <c r="B227" s="2" t="n">
        <v>2024</v>
      </c>
      <c r="C227" s="2" t="s">
        <v>8</v>
      </c>
      <c r="D227" s="2" t="s">
        <v>10</v>
      </c>
      <c r="E227" s="2" t="n">
        <v>33</v>
      </c>
      <c r="F227" s="3" t="n">
        <v>2524072</v>
      </c>
      <c r="G227" s="3" t="n">
        <v>33529</v>
      </c>
    </row>
    <row r="228" customFormat="false" ht="15" hidden="false" customHeight="false" outlineLevel="0" collapsed="false">
      <c r="A228" s="2" t="s">
        <v>29</v>
      </c>
      <c r="B228" s="2" t="n">
        <v>2024</v>
      </c>
      <c r="C228" s="2" t="s">
        <v>8</v>
      </c>
      <c r="D228" s="2" t="s">
        <v>11</v>
      </c>
      <c r="E228" s="2" t="n">
        <v>70</v>
      </c>
      <c r="F228" s="3" t="n">
        <v>4529757</v>
      </c>
      <c r="G228" s="3" t="n">
        <v>134009</v>
      </c>
    </row>
    <row r="229" customFormat="false" ht="15" hidden="false" customHeight="false" outlineLevel="0" collapsed="false">
      <c r="A229" s="2" t="s">
        <v>29</v>
      </c>
      <c r="B229" s="2" t="n">
        <v>2024</v>
      </c>
      <c r="C229" s="2" t="s">
        <v>8</v>
      </c>
      <c r="D229" s="2" t="s">
        <v>12</v>
      </c>
      <c r="E229" s="2" t="n">
        <v>54</v>
      </c>
      <c r="F229" s="3" t="n">
        <v>4026962</v>
      </c>
      <c r="G229" s="3" t="n">
        <v>143488</v>
      </c>
    </row>
    <row r="230" customFormat="false" ht="15" hidden="false" customHeight="false" outlineLevel="0" collapsed="false">
      <c r="A230" s="2" t="s">
        <v>29</v>
      </c>
      <c r="B230" s="2" t="n">
        <v>2024</v>
      </c>
      <c r="C230" s="2" t="s">
        <v>13</v>
      </c>
      <c r="D230" s="2" t="s">
        <v>9</v>
      </c>
      <c r="E230" s="2" t="n">
        <v>35</v>
      </c>
      <c r="F230" s="3" t="n">
        <v>196207</v>
      </c>
      <c r="G230" s="3" t="n">
        <v>83684</v>
      </c>
    </row>
    <row r="231" customFormat="false" ht="15" hidden="false" customHeight="false" outlineLevel="0" collapsed="false">
      <c r="A231" s="2" t="s">
        <v>29</v>
      </c>
      <c r="B231" s="2" t="n">
        <v>2024</v>
      </c>
      <c r="C231" s="2" t="s">
        <v>13</v>
      </c>
      <c r="D231" s="2" t="s">
        <v>10</v>
      </c>
      <c r="E231" s="2" t="n">
        <v>30</v>
      </c>
      <c r="F231" s="3" t="n">
        <v>207409</v>
      </c>
      <c r="G231" s="3" t="n">
        <v>81994</v>
      </c>
    </row>
    <row r="232" customFormat="false" ht="15" hidden="false" customHeight="false" outlineLevel="0" collapsed="false">
      <c r="A232" s="2" t="s">
        <v>29</v>
      </c>
      <c r="B232" s="2" t="n">
        <v>2024</v>
      </c>
      <c r="C232" s="2" t="s">
        <v>13</v>
      </c>
      <c r="D232" s="2" t="s">
        <v>11</v>
      </c>
      <c r="E232" s="2" t="n">
        <v>78</v>
      </c>
      <c r="F232" s="3" t="n">
        <v>486401</v>
      </c>
      <c r="G232" s="3" t="n">
        <v>197233</v>
      </c>
    </row>
    <row r="233" customFormat="false" ht="15" hidden="false" customHeight="false" outlineLevel="0" collapsed="false">
      <c r="A233" s="2" t="s">
        <v>29</v>
      </c>
      <c r="B233" s="2" t="n">
        <v>2024</v>
      </c>
      <c r="C233" s="2" t="s">
        <v>13</v>
      </c>
      <c r="D233" s="2" t="s">
        <v>12</v>
      </c>
      <c r="E233" s="2" t="n">
        <v>58</v>
      </c>
      <c r="F233" s="3" t="n">
        <v>276180</v>
      </c>
      <c r="G233" s="3" t="n">
        <v>108425</v>
      </c>
    </row>
    <row r="234" customFormat="false" ht="15" hidden="false" customHeight="false" outlineLevel="0" collapsed="false">
      <c r="A234" s="2" t="s">
        <v>29</v>
      </c>
      <c r="B234" s="2" t="n">
        <v>2024</v>
      </c>
      <c r="C234" s="2" t="s">
        <v>14</v>
      </c>
      <c r="D234" s="2" t="s">
        <v>9</v>
      </c>
      <c r="E234" s="2" t="n">
        <v>48</v>
      </c>
      <c r="F234" s="3" t="n">
        <v>20355</v>
      </c>
      <c r="G234" s="3" t="n">
        <v>2338</v>
      </c>
    </row>
    <row r="235" customFormat="false" ht="15" hidden="false" customHeight="false" outlineLevel="0" collapsed="false">
      <c r="A235" s="2" t="s">
        <v>29</v>
      </c>
      <c r="B235" s="2" t="n">
        <v>2024</v>
      </c>
      <c r="C235" s="2" t="s">
        <v>14</v>
      </c>
      <c r="D235" s="2" t="s">
        <v>10</v>
      </c>
      <c r="E235" s="2" t="n">
        <v>31</v>
      </c>
      <c r="F235" s="3" t="n">
        <v>13795</v>
      </c>
      <c r="G235" s="3" t="n">
        <v>1178</v>
      </c>
    </row>
    <row r="236" customFormat="false" ht="15" hidden="false" customHeight="false" outlineLevel="0" collapsed="false">
      <c r="A236" s="2" t="s">
        <v>29</v>
      </c>
      <c r="B236" s="2" t="n">
        <v>2024</v>
      </c>
      <c r="C236" s="2" t="s">
        <v>14</v>
      </c>
      <c r="D236" s="2" t="s">
        <v>11</v>
      </c>
      <c r="E236" s="2" t="n">
        <v>66</v>
      </c>
      <c r="F236" s="3" t="n">
        <v>33531</v>
      </c>
      <c r="G236" s="3" t="n">
        <v>2301</v>
      </c>
    </row>
    <row r="237" customFormat="false" ht="15" hidden="false" customHeight="false" outlineLevel="0" collapsed="false">
      <c r="A237" s="2" t="s">
        <v>29</v>
      </c>
      <c r="B237" s="2" t="n">
        <v>2024</v>
      </c>
      <c r="C237" s="2" t="s">
        <v>14</v>
      </c>
      <c r="D237" s="2" t="s">
        <v>12</v>
      </c>
      <c r="E237" s="2" t="n">
        <v>51</v>
      </c>
      <c r="F237" s="3" t="n">
        <v>20555</v>
      </c>
      <c r="G237" s="3" t="n">
        <v>2453</v>
      </c>
    </row>
    <row r="238" customFormat="false" ht="15" hidden="false" customHeight="false" outlineLevel="0" collapsed="false">
      <c r="A238" s="2" t="s">
        <v>29</v>
      </c>
      <c r="B238" s="2" t="n">
        <v>2024</v>
      </c>
      <c r="C238" s="2" t="s">
        <v>15</v>
      </c>
      <c r="D238" s="2" t="s">
        <v>9</v>
      </c>
      <c r="E238" s="2" t="n">
        <v>35</v>
      </c>
      <c r="F238" s="3" t="n">
        <v>298084</v>
      </c>
      <c r="G238" s="3" t="n">
        <v>78530</v>
      </c>
    </row>
    <row r="239" customFormat="false" ht="15" hidden="false" customHeight="false" outlineLevel="0" collapsed="false">
      <c r="A239" s="2" t="s">
        <v>29</v>
      </c>
      <c r="B239" s="2" t="n">
        <v>2024</v>
      </c>
      <c r="C239" s="2" t="s">
        <v>15</v>
      </c>
      <c r="D239" s="2" t="s">
        <v>10</v>
      </c>
      <c r="E239" s="2" t="n">
        <v>35</v>
      </c>
      <c r="F239" s="3" t="n">
        <v>427707</v>
      </c>
      <c r="G239" s="3" t="n">
        <v>84335</v>
      </c>
    </row>
    <row r="240" customFormat="false" ht="15" hidden="false" customHeight="false" outlineLevel="0" collapsed="false">
      <c r="A240" s="2" t="s">
        <v>29</v>
      </c>
      <c r="B240" s="2" t="n">
        <v>2024</v>
      </c>
      <c r="C240" s="2" t="s">
        <v>15</v>
      </c>
      <c r="D240" s="2" t="s">
        <v>11</v>
      </c>
      <c r="E240" s="2" t="n">
        <v>83</v>
      </c>
      <c r="F240" s="3" t="n">
        <v>1045902</v>
      </c>
      <c r="G240" s="3" t="n">
        <v>217012</v>
      </c>
    </row>
    <row r="241" customFormat="false" ht="15" hidden="false" customHeight="false" outlineLevel="0" collapsed="false">
      <c r="A241" s="2" t="s">
        <v>29</v>
      </c>
      <c r="B241" s="2" t="n">
        <v>2024</v>
      </c>
      <c r="C241" s="2" t="s">
        <v>15</v>
      </c>
      <c r="D241" s="2" t="s">
        <v>12</v>
      </c>
      <c r="E241" s="2" t="n">
        <v>56</v>
      </c>
      <c r="F241" s="3" t="n">
        <v>571275</v>
      </c>
      <c r="G241" s="3" t="n">
        <v>122653</v>
      </c>
    </row>
    <row r="242" customFormat="false" ht="15" hidden="false" customHeight="false" outlineLevel="0" collapsed="false">
      <c r="A242" s="2" t="s">
        <v>30</v>
      </c>
      <c r="B242" s="2" t="n">
        <v>2024</v>
      </c>
      <c r="C242" s="2" t="s">
        <v>8</v>
      </c>
      <c r="D242" s="2" t="s">
        <v>9</v>
      </c>
      <c r="E242" s="2" t="n">
        <v>36</v>
      </c>
      <c r="F242" s="3" t="n">
        <v>2251612</v>
      </c>
      <c r="G242" s="3" t="n">
        <v>35909</v>
      </c>
    </row>
    <row r="243" customFormat="false" ht="15" hidden="false" customHeight="false" outlineLevel="0" collapsed="false">
      <c r="A243" s="2" t="s">
        <v>30</v>
      </c>
      <c r="B243" s="2" t="n">
        <v>2024</v>
      </c>
      <c r="C243" s="2" t="s">
        <v>8</v>
      </c>
      <c r="D243" s="2" t="s">
        <v>10</v>
      </c>
      <c r="E243" s="2" t="n">
        <v>30</v>
      </c>
      <c r="F243" s="3" t="n">
        <v>2064120</v>
      </c>
      <c r="G243" s="3" t="n">
        <v>99344</v>
      </c>
    </row>
    <row r="244" customFormat="false" ht="15" hidden="false" customHeight="false" outlineLevel="0" collapsed="false">
      <c r="A244" s="2" t="s">
        <v>30</v>
      </c>
      <c r="B244" s="2" t="n">
        <v>2024</v>
      </c>
      <c r="C244" s="2" t="s">
        <v>8</v>
      </c>
      <c r="D244" s="2" t="s">
        <v>11</v>
      </c>
      <c r="E244" s="2" t="n">
        <v>64</v>
      </c>
      <c r="F244" s="3" t="n">
        <v>4617024</v>
      </c>
      <c r="G244" s="3" t="n">
        <v>187589</v>
      </c>
    </row>
    <row r="245" customFormat="false" ht="15" hidden="false" customHeight="false" outlineLevel="0" collapsed="false">
      <c r="A245" s="2" t="s">
        <v>30</v>
      </c>
      <c r="B245" s="2" t="n">
        <v>2024</v>
      </c>
      <c r="C245" s="2" t="s">
        <v>8</v>
      </c>
      <c r="D245" s="2" t="s">
        <v>12</v>
      </c>
      <c r="E245" s="2" t="n">
        <v>55</v>
      </c>
      <c r="F245" s="3" t="n">
        <v>4226940</v>
      </c>
      <c r="G245" s="3" t="n">
        <v>157048</v>
      </c>
    </row>
    <row r="246" customFormat="false" ht="15" hidden="false" customHeight="false" outlineLevel="0" collapsed="false">
      <c r="A246" s="2" t="s">
        <v>30</v>
      </c>
      <c r="B246" s="2" t="n">
        <v>2024</v>
      </c>
      <c r="C246" s="2" t="s">
        <v>13</v>
      </c>
      <c r="D246" s="2" t="s">
        <v>9</v>
      </c>
      <c r="E246" s="2" t="n">
        <v>31</v>
      </c>
      <c r="F246" s="3" t="n">
        <v>161559</v>
      </c>
      <c r="G246" s="3" t="n">
        <v>65451</v>
      </c>
    </row>
    <row r="247" customFormat="false" ht="15" hidden="false" customHeight="false" outlineLevel="0" collapsed="false">
      <c r="A247" s="2" t="s">
        <v>30</v>
      </c>
      <c r="B247" s="2" t="n">
        <v>2024</v>
      </c>
      <c r="C247" s="2" t="s">
        <v>13</v>
      </c>
      <c r="D247" s="2" t="s">
        <v>10</v>
      </c>
      <c r="E247" s="2" t="n">
        <v>37</v>
      </c>
      <c r="F247" s="3" t="n">
        <v>239127</v>
      </c>
      <c r="G247" s="3" t="n">
        <v>94031</v>
      </c>
    </row>
    <row r="248" customFormat="false" ht="15" hidden="false" customHeight="false" outlineLevel="0" collapsed="false">
      <c r="A248" s="2" t="s">
        <v>30</v>
      </c>
      <c r="B248" s="2" t="n">
        <v>2024</v>
      </c>
      <c r="C248" s="2" t="s">
        <v>13</v>
      </c>
      <c r="D248" s="2" t="s">
        <v>11</v>
      </c>
      <c r="E248" s="2" t="n">
        <v>62</v>
      </c>
      <c r="F248" s="3" t="n">
        <v>340201</v>
      </c>
      <c r="G248" s="3" t="n">
        <v>125353</v>
      </c>
    </row>
    <row r="249" customFormat="false" ht="15" hidden="false" customHeight="false" outlineLevel="0" collapsed="false">
      <c r="A249" s="2" t="s">
        <v>30</v>
      </c>
      <c r="B249" s="2" t="n">
        <v>2024</v>
      </c>
      <c r="C249" s="2" t="s">
        <v>13</v>
      </c>
      <c r="D249" s="2" t="s">
        <v>12</v>
      </c>
      <c r="E249" s="2" t="n">
        <v>55</v>
      </c>
      <c r="F249" s="3" t="n">
        <v>284508</v>
      </c>
      <c r="G249" s="3" t="n">
        <v>113473</v>
      </c>
    </row>
    <row r="250" customFormat="false" ht="15" hidden="false" customHeight="false" outlineLevel="0" collapsed="false">
      <c r="A250" s="2" t="s">
        <v>30</v>
      </c>
      <c r="B250" s="2" t="n">
        <v>2024</v>
      </c>
      <c r="C250" s="2" t="s">
        <v>14</v>
      </c>
      <c r="D250" s="2" t="s">
        <v>9</v>
      </c>
      <c r="E250" s="2" t="n">
        <v>42</v>
      </c>
      <c r="F250" s="3" t="n">
        <v>17524</v>
      </c>
      <c r="G250" s="3" t="n">
        <v>1124</v>
      </c>
    </row>
    <row r="251" customFormat="false" ht="15" hidden="false" customHeight="false" outlineLevel="0" collapsed="false">
      <c r="A251" s="2" t="s">
        <v>30</v>
      </c>
      <c r="B251" s="2" t="n">
        <v>2024</v>
      </c>
      <c r="C251" s="2" t="s">
        <v>14</v>
      </c>
      <c r="D251" s="2" t="s">
        <v>10</v>
      </c>
      <c r="E251" s="2" t="n">
        <v>44</v>
      </c>
      <c r="F251" s="3" t="n">
        <v>16769</v>
      </c>
      <c r="G251" s="3" t="n">
        <v>1490</v>
      </c>
    </row>
    <row r="252" customFormat="false" ht="15" hidden="false" customHeight="false" outlineLevel="0" collapsed="false">
      <c r="A252" s="2" t="s">
        <v>30</v>
      </c>
      <c r="B252" s="2" t="n">
        <v>2024</v>
      </c>
      <c r="C252" s="2" t="s">
        <v>14</v>
      </c>
      <c r="D252" s="2" t="s">
        <v>11</v>
      </c>
      <c r="E252" s="2" t="n">
        <v>59</v>
      </c>
      <c r="F252" s="3" t="n">
        <v>28936</v>
      </c>
      <c r="G252" s="3" t="n">
        <v>1195</v>
      </c>
    </row>
    <row r="253" customFormat="false" ht="15" hidden="false" customHeight="false" outlineLevel="0" collapsed="false">
      <c r="A253" s="2" t="s">
        <v>30</v>
      </c>
      <c r="B253" s="2" t="n">
        <v>2024</v>
      </c>
      <c r="C253" s="2" t="s">
        <v>14</v>
      </c>
      <c r="D253" s="2" t="s">
        <v>12</v>
      </c>
      <c r="E253" s="2" t="n">
        <v>54</v>
      </c>
      <c r="F253" s="3" t="n">
        <v>26844</v>
      </c>
      <c r="G253" s="3" t="n">
        <v>2138</v>
      </c>
    </row>
    <row r="254" customFormat="false" ht="15" hidden="false" customHeight="false" outlineLevel="0" collapsed="false">
      <c r="A254" s="2" t="s">
        <v>30</v>
      </c>
      <c r="B254" s="2" t="n">
        <v>2024</v>
      </c>
      <c r="C254" s="2" t="s">
        <v>15</v>
      </c>
      <c r="D254" s="2" t="s">
        <v>9</v>
      </c>
      <c r="E254" s="2" t="n">
        <v>32</v>
      </c>
      <c r="F254" s="3" t="n">
        <v>373964</v>
      </c>
      <c r="G254" s="3" t="n">
        <v>72942</v>
      </c>
    </row>
    <row r="255" customFormat="false" ht="15" hidden="false" customHeight="false" outlineLevel="0" collapsed="false">
      <c r="A255" s="2" t="s">
        <v>30</v>
      </c>
      <c r="B255" s="2" t="n">
        <v>2024</v>
      </c>
      <c r="C255" s="2" t="s">
        <v>15</v>
      </c>
      <c r="D255" s="2" t="s">
        <v>10</v>
      </c>
      <c r="E255" s="2" t="n">
        <v>41</v>
      </c>
      <c r="F255" s="3" t="n">
        <v>507584</v>
      </c>
      <c r="G255" s="3" t="n">
        <v>115417</v>
      </c>
    </row>
    <row r="256" customFormat="false" ht="15" hidden="false" customHeight="false" outlineLevel="0" collapsed="false">
      <c r="A256" s="2" t="s">
        <v>30</v>
      </c>
      <c r="B256" s="2" t="n">
        <v>2024</v>
      </c>
      <c r="C256" s="2" t="s">
        <v>15</v>
      </c>
      <c r="D256" s="2" t="s">
        <v>11</v>
      </c>
      <c r="E256" s="2" t="n">
        <v>62</v>
      </c>
      <c r="F256" s="3" t="n">
        <v>1157796</v>
      </c>
      <c r="G256" s="3" t="n">
        <v>249524</v>
      </c>
    </row>
    <row r="257" customFormat="false" ht="15" hidden="false" customHeight="false" outlineLevel="0" collapsed="false">
      <c r="A257" s="2" t="s">
        <v>30</v>
      </c>
      <c r="B257" s="2" t="n">
        <v>2024</v>
      </c>
      <c r="C257" s="2" t="s">
        <v>15</v>
      </c>
      <c r="D257" s="2" t="s">
        <v>12</v>
      </c>
      <c r="E257" s="2" t="n">
        <v>73</v>
      </c>
      <c r="F257" s="3" t="n">
        <v>1019995</v>
      </c>
      <c r="G257" s="3" t="n">
        <v>229102</v>
      </c>
    </row>
    <row r="258" customFormat="false" ht="15" hidden="false" customHeight="false" outlineLevel="0" collapsed="false">
      <c r="A258" s="2" t="s">
        <v>31</v>
      </c>
      <c r="B258" s="2" t="n">
        <v>2024</v>
      </c>
      <c r="C258" s="2" t="s">
        <v>8</v>
      </c>
      <c r="D258" s="2" t="s">
        <v>9</v>
      </c>
      <c r="E258" s="2" t="n">
        <v>31</v>
      </c>
      <c r="F258" s="3" t="n">
        <v>1655694</v>
      </c>
      <c r="G258" s="3" t="n">
        <v>33193</v>
      </c>
    </row>
    <row r="259" customFormat="false" ht="15" hidden="false" customHeight="false" outlineLevel="0" collapsed="false">
      <c r="A259" s="2" t="s">
        <v>31</v>
      </c>
      <c r="B259" s="2" t="n">
        <v>2024</v>
      </c>
      <c r="C259" s="2" t="s">
        <v>8</v>
      </c>
      <c r="D259" s="2" t="s">
        <v>10</v>
      </c>
      <c r="E259" s="2" t="n">
        <v>48</v>
      </c>
      <c r="F259" s="3" t="n">
        <v>3087588</v>
      </c>
      <c r="G259" s="3" t="n">
        <v>74671</v>
      </c>
    </row>
    <row r="260" customFormat="false" ht="15" hidden="false" customHeight="false" outlineLevel="0" collapsed="false">
      <c r="A260" s="2" t="s">
        <v>31</v>
      </c>
      <c r="B260" s="2" t="n">
        <v>2024</v>
      </c>
      <c r="C260" s="2" t="s">
        <v>8</v>
      </c>
      <c r="D260" s="2" t="s">
        <v>11</v>
      </c>
      <c r="E260" s="2" t="n">
        <v>75</v>
      </c>
      <c r="F260" s="3" t="n">
        <v>4919899</v>
      </c>
      <c r="G260" s="3" t="n">
        <v>205692</v>
      </c>
    </row>
    <row r="261" customFormat="false" ht="15" hidden="false" customHeight="false" outlineLevel="0" collapsed="false">
      <c r="A261" s="2" t="s">
        <v>31</v>
      </c>
      <c r="B261" s="2" t="n">
        <v>2024</v>
      </c>
      <c r="C261" s="2" t="s">
        <v>8</v>
      </c>
      <c r="D261" s="2" t="s">
        <v>12</v>
      </c>
      <c r="E261" s="2" t="n">
        <v>61</v>
      </c>
      <c r="F261" s="3" t="n">
        <v>4031432</v>
      </c>
      <c r="G261" s="3" t="n">
        <v>126330</v>
      </c>
    </row>
    <row r="262" customFormat="false" ht="15" hidden="false" customHeight="false" outlineLevel="0" collapsed="false">
      <c r="A262" s="2" t="s">
        <v>31</v>
      </c>
      <c r="B262" s="2" t="n">
        <v>2024</v>
      </c>
      <c r="C262" s="2" t="s">
        <v>13</v>
      </c>
      <c r="D262" s="2" t="s">
        <v>9</v>
      </c>
      <c r="E262" s="2" t="n">
        <v>34</v>
      </c>
      <c r="F262" s="3" t="n">
        <v>233043</v>
      </c>
      <c r="G262" s="3" t="n">
        <v>96584</v>
      </c>
    </row>
    <row r="263" customFormat="false" ht="15" hidden="false" customHeight="false" outlineLevel="0" collapsed="false">
      <c r="A263" s="2" t="s">
        <v>31</v>
      </c>
      <c r="B263" s="2" t="n">
        <v>2024</v>
      </c>
      <c r="C263" s="2" t="s">
        <v>13</v>
      </c>
      <c r="D263" s="2" t="s">
        <v>10</v>
      </c>
      <c r="E263" s="2" t="n">
        <v>46</v>
      </c>
      <c r="F263" s="3" t="n">
        <v>239748</v>
      </c>
      <c r="G263" s="3" t="n">
        <v>96531</v>
      </c>
    </row>
    <row r="264" customFormat="false" ht="15" hidden="false" customHeight="false" outlineLevel="0" collapsed="false">
      <c r="A264" s="2" t="s">
        <v>31</v>
      </c>
      <c r="B264" s="2" t="n">
        <v>2024</v>
      </c>
      <c r="C264" s="2" t="s">
        <v>13</v>
      </c>
      <c r="D264" s="2" t="s">
        <v>11</v>
      </c>
      <c r="E264" s="2" t="n">
        <v>73</v>
      </c>
      <c r="F264" s="3" t="n">
        <v>445778</v>
      </c>
      <c r="G264" s="3" t="n">
        <v>176574</v>
      </c>
    </row>
    <row r="265" customFormat="false" ht="15" hidden="false" customHeight="false" outlineLevel="0" collapsed="false">
      <c r="A265" s="2" t="s">
        <v>31</v>
      </c>
      <c r="B265" s="2" t="n">
        <v>2024</v>
      </c>
      <c r="C265" s="2" t="s">
        <v>13</v>
      </c>
      <c r="D265" s="2" t="s">
        <v>12</v>
      </c>
      <c r="E265" s="2" t="n">
        <v>69</v>
      </c>
      <c r="F265" s="3" t="n">
        <v>379713</v>
      </c>
      <c r="G265" s="3" t="n">
        <v>147738</v>
      </c>
    </row>
    <row r="266" customFormat="false" ht="15" hidden="false" customHeight="false" outlineLevel="0" collapsed="false">
      <c r="A266" s="2" t="s">
        <v>31</v>
      </c>
      <c r="B266" s="2" t="n">
        <v>2024</v>
      </c>
      <c r="C266" s="2" t="s">
        <v>14</v>
      </c>
      <c r="D266" s="2" t="s">
        <v>9</v>
      </c>
      <c r="E266" s="2" t="n">
        <v>42</v>
      </c>
      <c r="F266" s="3" t="n">
        <v>20029</v>
      </c>
      <c r="G266" s="3" t="n">
        <v>2001</v>
      </c>
    </row>
    <row r="267" customFormat="false" ht="15" hidden="false" customHeight="false" outlineLevel="0" collapsed="false">
      <c r="A267" s="2" t="s">
        <v>31</v>
      </c>
      <c r="B267" s="2" t="n">
        <v>2024</v>
      </c>
      <c r="C267" s="2" t="s">
        <v>14</v>
      </c>
      <c r="D267" s="2" t="s">
        <v>10</v>
      </c>
      <c r="E267" s="2" t="n">
        <v>46</v>
      </c>
      <c r="F267" s="3" t="n">
        <v>21675</v>
      </c>
      <c r="G267" s="3" t="n">
        <v>1275</v>
      </c>
    </row>
    <row r="268" customFormat="false" ht="15" hidden="false" customHeight="false" outlineLevel="0" collapsed="false">
      <c r="A268" s="2" t="s">
        <v>31</v>
      </c>
      <c r="B268" s="2" t="n">
        <v>2024</v>
      </c>
      <c r="C268" s="2" t="s">
        <v>14</v>
      </c>
      <c r="D268" s="2" t="s">
        <v>11</v>
      </c>
      <c r="E268" s="2" t="n">
        <v>80</v>
      </c>
      <c r="F268" s="3" t="n">
        <v>31620</v>
      </c>
      <c r="G268" s="3" t="n">
        <v>3135</v>
      </c>
    </row>
    <row r="269" customFormat="false" ht="15" hidden="false" customHeight="false" outlineLevel="0" collapsed="false">
      <c r="A269" s="2" t="s">
        <v>31</v>
      </c>
      <c r="B269" s="2" t="n">
        <v>2024</v>
      </c>
      <c r="C269" s="2" t="s">
        <v>14</v>
      </c>
      <c r="D269" s="2" t="s">
        <v>12</v>
      </c>
      <c r="E269" s="2" t="n">
        <v>77</v>
      </c>
      <c r="F269" s="3" t="n">
        <v>36495</v>
      </c>
      <c r="G269" s="3" t="n">
        <v>3598</v>
      </c>
    </row>
    <row r="270" customFormat="false" ht="15" hidden="false" customHeight="false" outlineLevel="0" collapsed="false">
      <c r="A270" s="2" t="s">
        <v>31</v>
      </c>
      <c r="B270" s="2" t="n">
        <v>2024</v>
      </c>
      <c r="C270" s="2" t="s">
        <v>15</v>
      </c>
      <c r="D270" s="2" t="s">
        <v>9</v>
      </c>
      <c r="E270" s="2" t="n">
        <v>23</v>
      </c>
      <c r="F270" s="3" t="n">
        <v>404230</v>
      </c>
      <c r="G270" s="3" t="n">
        <v>81282</v>
      </c>
    </row>
    <row r="271" customFormat="false" ht="15" hidden="false" customHeight="false" outlineLevel="0" collapsed="false">
      <c r="A271" s="2" t="s">
        <v>31</v>
      </c>
      <c r="B271" s="2" t="n">
        <v>2024</v>
      </c>
      <c r="C271" s="2" t="s">
        <v>15</v>
      </c>
      <c r="D271" s="2" t="s">
        <v>10</v>
      </c>
      <c r="E271" s="2" t="n">
        <v>50</v>
      </c>
      <c r="F271" s="3" t="n">
        <v>649171</v>
      </c>
      <c r="G271" s="3" t="n">
        <v>148635</v>
      </c>
    </row>
    <row r="272" customFormat="false" ht="15" hidden="false" customHeight="false" outlineLevel="0" collapsed="false">
      <c r="A272" s="2" t="s">
        <v>31</v>
      </c>
      <c r="B272" s="2" t="n">
        <v>2024</v>
      </c>
      <c r="C272" s="2" t="s">
        <v>15</v>
      </c>
      <c r="D272" s="2" t="s">
        <v>11</v>
      </c>
      <c r="E272" s="2" t="n">
        <v>70</v>
      </c>
      <c r="F272" s="3" t="n">
        <v>1092288</v>
      </c>
      <c r="G272" s="3" t="n">
        <v>273873</v>
      </c>
    </row>
    <row r="273" customFormat="false" ht="15" hidden="false" customHeight="false" outlineLevel="0" collapsed="false">
      <c r="A273" s="2" t="s">
        <v>31</v>
      </c>
      <c r="B273" s="2" t="n">
        <v>2024</v>
      </c>
      <c r="C273" s="2" t="s">
        <v>15</v>
      </c>
      <c r="D273" s="2" t="s">
        <v>12</v>
      </c>
      <c r="E273" s="2" t="n">
        <v>77</v>
      </c>
      <c r="F273" s="3" t="n">
        <v>1268658</v>
      </c>
      <c r="G273" s="3" t="n">
        <v>276821</v>
      </c>
    </row>
    <row r="274" customFormat="false" ht="15" hidden="false" customHeight="false" outlineLevel="0" collapsed="false">
      <c r="A274" s="2" t="s">
        <v>32</v>
      </c>
      <c r="B274" s="2" t="n">
        <v>2024</v>
      </c>
      <c r="C274" s="2" t="s">
        <v>8</v>
      </c>
      <c r="D274" s="2" t="s">
        <v>9</v>
      </c>
      <c r="E274" s="2" t="n">
        <v>30</v>
      </c>
      <c r="F274" s="3" t="n">
        <v>1797199</v>
      </c>
      <c r="G274" s="3" t="n">
        <v>55524</v>
      </c>
    </row>
    <row r="275" customFormat="false" ht="15" hidden="false" customHeight="false" outlineLevel="0" collapsed="false">
      <c r="A275" s="2" t="s">
        <v>32</v>
      </c>
      <c r="B275" s="2" t="n">
        <v>2024</v>
      </c>
      <c r="C275" s="2" t="s">
        <v>8</v>
      </c>
      <c r="D275" s="2" t="s">
        <v>10</v>
      </c>
      <c r="E275" s="2" t="n">
        <v>53</v>
      </c>
      <c r="F275" s="3" t="n">
        <v>4103077</v>
      </c>
      <c r="G275" s="3" t="n">
        <v>176844</v>
      </c>
    </row>
    <row r="276" customFormat="false" ht="15" hidden="false" customHeight="false" outlineLevel="0" collapsed="false">
      <c r="A276" s="2" t="s">
        <v>32</v>
      </c>
      <c r="B276" s="2" t="n">
        <v>2024</v>
      </c>
      <c r="C276" s="2" t="s">
        <v>8</v>
      </c>
      <c r="D276" s="2" t="s">
        <v>11</v>
      </c>
      <c r="E276" s="2" t="n">
        <v>67</v>
      </c>
      <c r="F276" s="3" t="n">
        <v>6008314</v>
      </c>
      <c r="G276" s="3" t="n">
        <v>68501</v>
      </c>
    </row>
    <row r="277" customFormat="false" ht="15" hidden="false" customHeight="false" outlineLevel="0" collapsed="false">
      <c r="A277" s="2" t="s">
        <v>32</v>
      </c>
      <c r="B277" s="2" t="n">
        <v>2024</v>
      </c>
      <c r="C277" s="2" t="s">
        <v>8</v>
      </c>
      <c r="D277" s="2" t="s">
        <v>12</v>
      </c>
      <c r="E277" s="2" t="n">
        <v>57</v>
      </c>
      <c r="F277" s="3" t="n">
        <v>3204249</v>
      </c>
      <c r="G277" s="3" t="n">
        <v>15765</v>
      </c>
    </row>
    <row r="278" customFormat="false" ht="15" hidden="false" customHeight="false" outlineLevel="0" collapsed="false">
      <c r="A278" s="2" t="s">
        <v>32</v>
      </c>
      <c r="B278" s="2" t="n">
        <v>2024</v>
      </c>
      <c r="C278" s="2" t="s">
        <v>13</v>
      </c>
      <c r="D278" s="2" t="s">
        <v>9</v>
      </c>
      <c r="E278" s="2" t="n">
        <v>42</v>
      </c>
      <c r="F278" s="3" t="n">
        <v>225510</v>
      </c>
      <c r="G278" s="3" t="n">
        <v>90275</v>
      </c>
    </row>
    <row r="279" customFormat="false" ht="15" hidden="false" customHeight="false" outlineLevel="0" collapsed="false">
      <c r="A279" s="2" t="s">
        <v>32</v>
      </c>
      <c r="B279" s="2" t="n">
        <v>2024</v>
      </c>
      <c r="C279" s="2" t="s">
        <v>13</v>
      </c>
      <c r="D279" s="2" t="s">
        <v>10</v>
      </c>
      <c r="E279" s="2" t="n">
        <v>41</v>
      </c>
      <c r="F279" s="3" t="n">
        <v>243296</v>
      </c>
      <c r="G279" s="3" t="n">
        <v>92411</v>
      </c>
    </row>
    <row r="280" customFormat="false" ht="15" hidden="false" customHeight="false" outlineLevel="0" collapsed="false">
      <c r="A280" s="2" t="s">
        <v>32</v>
      </c>
      <c r="B280" s="2" t="n">
        <v>2024</v>
      </c>
      <c r="C280" s="2" t="s">
        <v>13</v>
      </c>
      <c r="D280" s="2" t="s">
        <v>11</v>
      </c>
      <c r="E280" s="2" t="n">
        <v>64</v>
      </c>
      <c r="F280" s="3" t="n">
        <v>405804</v>
      </c>
      <c r="G280" s="3" t="n">
        <v>157745</v>
      </c>
    </row>
    <row r="281" customFormat="false" ht="15" hidden="false" customHeight="false" outlineLevel="0" collapsed="false">
      <c r="A281" s="2" t="s">
        <v>32</v>
      </c>
      <c r="B281" s="2" t="n">
        <v>2024</v>
      </c>
      <c r="C281" s="2" t="s">
        <v>13</v>
      </c>
      <c r="D281" s="2" t="s">
        <v>12</v>
      </c>
      <c r="E281" s="2" t="n">
        <v>65</v>
      </c>
      <c r="F281" s="3" t="n">
        <v>415070</v>
      </c>
      <c r="G281" s="3" t="n">
        <v>168001</v>
      </c>
    </row>
    <row r="282" customFormat="false" ht="15" hidden="false" customHeight="false" outlineLevel="0" collapsed="false">
      <c r="A282" s="2" t="s">
        <v>32</v>
      </c>
      <c r="B282" s="2" t="n">
        <v>2024</v>
      </c>
      <c r="C282" s="2" t="s">
        <v>14</v>
      </c>
      <c r="D282" s="2" t="s">
        <v>9</v>
      </c>
      <c r="E282" s="2" t="n">
        <v>33</v>
      </c>
      <c r="F282" s="3" t="n">
        <v>13570</v>
      </c>
      <c r="G282" s="3" t="n">
        <v>1163</v>
      </c>
    </row>
    <row r="283" customFormat="false" ht="15" hidden="false" customHeight="false" outlineLevel="0" collapsed="false">
      <c r="A283" s="2" t="s">
        <v>32</v>
      </c>
      <c r="B283" s="2" t="n">
        <v>2024</v>
      </c>
      <c r="C283" s="2" t="s">
        <v>14</v>
      </c>
      <c r="D283" s="2" t="s">
        <v>10</v>
      </c>
      <c r="E283" s="2" t="n">
        <v>48</v>
      </c>
      <c r="F283" s="3" t="n">
        <v>18296</v>
      </c>
      <c r="G283" s="3" t="n">
        <v>1524</v>
      </c>
    </row>
    <row r="284" customFormat="false" ht="15" hidden="false" customHeight="false" outlineLevel="0" collapsed="false">
      <c r="A284" s="2" t="s">
        <v>32</v>
      </c>
      <c r="B284" s="2" t="n">
        <v>2024</v>
      </c>
      <c r="C284" s="2" t="s">
        <v>14</v>
      </c>
      <c r="D284" s="2" t="s">
        <v>11</v>
      </c>
      <c r="E284" s="2" t="n">
        <v>71</v>
      </c>
      <c r="F284" s="3" t="n">
        <v>33800</v>
      </c>
      <c r="G284" s="3" t="n">
        <v>2734</v>
      </c>
    </row>
    <row r="285" customFormat="false" ht="15" hidden="false" customHeight="false" outlineLevel="0" collapsed="false">
      <c r="A285" s="2" t="s">
        <v>32</v>
      </c>
      <c r="B285" s="2" t="n">
        <v>2024</v>
      </c>
      <c r="C285" s="2" t="s">
        <v>14</v>
      </c>
      <c r="D285" s="2" t="s">
        <v>12</v>
      </c>
      <c r="E285" s="2" t="n">
        <v>45</v>
      </c>
      <c r="F285" s="3" t="n">
        <v>19213</v>
      </c>
      <c r="G285" s="3" t="n">
        <v>1812</v>
      </c>
    </row>
    <row r="286" customFormat="false" ht="15" hidden="false" customHeight="false" outlineLevel="0" collapsed="false">
      <c r="A286" s="2" t="s">
        <v>32</v>
      </c>
      <c r="B286" s="2" t="n">
        <v>2024</v>
      </c>
      <c r="C286" s="2" t="s">
        <v>15</v>
      </c>
      <c r="D286" s="2" t="s">
        <v>9</v>
      </c>
      <c r="E286" s="2" t="n">
        <v>43</v>
      </c>
      <c r="F286" s="3" t="n">
        <v>521704</v>
      </c>
      <c r="G286" s="3" t="n">
        <v>99220</v>
      </c>
    </row>
    <row r="287" customFormat="false" ht="15" hidden="false" customHeight="false" outlineLevel="0" collapsed="false">
      <c r="A287" s="2" t="s">
        <v>32</v>
      </c>
      <c r="B287" s="2" t="n">
        <v>2024</v>
      </c>
      <c r="C287" s="2" t="s">
        <v>15</v>
      </c>
      <c r="D287" s="2" t="s">
        <v>10</v>
      </c>
      <c r="E287" s="2" t="n">
        <v>34</v>
      </c>
      <c r="F287" s="3" t="n">
        <v>803007</v>
      </c>
      <c r="G287" s="3" t="n">
        <v>177639</v>
      </c>
    </row>
    <row r="288" customFormat="false" ht="15" hidden="false" customHeight="false" outlineLevel="0" collapsed="false">
      <c r="A288" s="2" t="s">
        <v>32</v>
      </c>
      <c r="B288" s="2" t="n">
        <v>2024</v>
      </c>
      <c r="C288" s="2" t="s">
        <v>15</v>
      </c>
      <c r="D288" s="2" t="s">
        <v>11</v>
      </c>
      <c r="E288" s="2" t="n">
        <v>74</v>
      </c>
      <c r="F288" s="3" t="n">
        <v>915639</v>
      </c>
      <c r="G288" s="3" t="n">
        <v>183863</v>
      </c>
    </row>
    <row r="289" customFormat="false" ht="15" hidden="false" customHeight="false" outlineLevel="0" collapsed="false">
      <c r="A289" s="2" t="s">
        <v>32</v>
      </c>
      <c r="B289" s="2" t="n">
        <v>2024</v>
      </c>
      <c r="C289" s="2" t="s">
        <v>15</v>
      </c>
      <c r="D289" s="2" t="s">
        <v>12</v>
      </c>
      <c r="E289" s="2" t="n">
        <v>53</v>
      </c>
      <c r="F289" s="3" t="n">
        <v>821411</v>
      </c>
      <c r="G289" s="3" t="n">
        <v>173131</v>
      </c>
    </row>
    <row r="290" customFormat="false" ht="15" hidden="false" customHeight="false" outlineLevel="0" collapsed="false">
      <c r="A290" s="2" t="s">
        <v>33</v>
      </c>
      <c r="B290" s="2" t="n">
        <v>2024</v>
      </c>
      <c r="C290" s="2" t="s">
        <v>8</v>
      </c>
      <c r="D290" s="2" t="s">
        <v>9</v>
      </c>
      <c r="E290" s="2" t="n">
        <v>21</v>
      </c>
      <c r="F290" s="3" t="n">
        <v>1552888</v>
      </c>
      <c r="G290" s="3" t="n">
        <v>53774</v>
      </c>
    </row>
    <row r="291" customFormat="false" ht="15" hidden="false" customHeight="false" outlineLevel="0" collapsed="false">
      <c r="A291" s="2" t="s">
        <v>33</v>
      </c>
      <c r="B291" s="2" t="n">
        <v>2024</v>
      </c>
      <c r="C291" s="2" t="s">
        <v>8</v>
      </c>
      <c r="D291" s="2" t="s">
        <v>10</v>
      </c>
      <c r="E291" s="2" t="n">
        <v>28</v>
      </c>
      <c r="F291" s="3" t="n">
        <v>1510581</v>
      </c>
      <c r="G291" s="3" t="n">
        <v>-20670</v>
      </c>
    </row>
    <row r="292" customFormat="false" ht="15" hidden="false" customHeight="false" outlineLevel="0" collapsed="false">
      <c r="A292" s="2" t="s">
        <v>33</v>
      </c>
      <c r="B292" s="2" t="n">
        <v>2024</v>
      </c>
      <c r="C292" s="2" t="s">
        <v>8</v>
      </c>
      <c r="D292" s="2" t="s">
        <v>11</v>
      </c>
      <c r="E292" s="2" t="n">
        <v>50</v>
      </c>
      <c r="F292" s="3" t="n">
        <v>3015007</v>
      </c>
      <c r="G292" s="3" t="n">
        <v>118031</v>
      </c>
    </row>
    <row r="293" customFormat="false" ht="15" hidden="false" customHeight="false" outlineLevel="0" collapsed="false">
      <c r="A293" s="2" t="s">
        <v>33</v>
      </c>
      <c r="B293" s="2" t="n">
        <v>2024</v>
      </c>
      <c r="C293" s="2" t="s">
        <v>8</v>
      </c>
      <c r="D293" s="2" t="s">
        <v>12</v>
      </c>
      <c r="E293" s="2" t="n">
        <v>43</v>
      </c>
      <c r="F293" s="3" t="n">
        <v>2672802</v>
      </c>
      <c r="G293" s="3" t="n">
        <v>126706</v>
      </c>
    </row>
    <row r="294" customFormat="false" ht="15" hidden="false" customHeight="false" outlineLevel="0" collapsed="false">
      <c r="A294" s="2" t="s">
        <v>33</v>
      </c>
      <c r="B294" s="2" t="n">
        <v>2024</v>
      </c>
      <c r="C294" s="2" t="s">
        <v>13</v>
      </c>
      <c r="D294" s="2" t="s">
        <v>9</v>
      </c>
      <c r="E294" s="2" t="n">
        <v>28</v>
      </c>
      <c r="F294" s="3" t="n">
        <v>150172</v>
      </c>
      <c r="G294" s="3" t="n">
        <v>61041</v>
      </c>
    </row>
    <row r="295" customFormat="false" ht="15" hidden="false" customHeight="false" outlineLevel="0" collapsed="false">
      <c r="A295" s="2" t="s">
        <v>33</v>
      </c>
      <c r="B295" s="2" t="n">
        <v>2024</v>
      </c>
      <c r="C295" s="2" t="s">
        <v>13</v>
      </c>
      <c r="D295" s="2" t="s">
        <v>10</v>
      </c>
      <c r="E295" s="2" t="n">
        <v>39</v>
      </c>
      <c r="F295" s="3" t="n">
        <v>216992</v>
      </c>
      <c r="G295" s="3" t="n">
        <v>85269</v>
      </c>
    </row>
    <row r="296" customFormat="false" ht="15" hidden="false" customHeight="false" outlineLevel="0" collapsed="false">
      <c r="A296" s="2" t="s">
        <v>33</v>
      </c>
      <c r="B296" s="2" t="n">
        <v>2024</v>
      </c>
      <c r="C296" s="2" t="s">
        <v>13</v>
      </c>
      <c r="D296" s="2" t="s">
        <v>11</v>
      </c>
      <c r="E296" s="2" t="n">
        <v>67</v>
      </c>
      <c r="F296" s="3" t="n">
        <v>371900</v>
      </c>
      <c r="G296" s="3" t="n">
        <v>148129</v>
      </c>
    </row>
    <row r="297" customFormat="false" ht="15" hidden="false" customHeight="false" outlineLevel="0" collapsed="false">
      <c r="A297" s="2" t="s">
        <v>33</v>
      </c>
      <c r="B297" s="2" t="n">
        <v>2024</v>
      </c>
      <c r="C297" s="2" t="s">
        <v>13</v>
      </c>
      <c r="D297" s="2" t="s">
        <v>12</v>
      </c>
      <c r="E297" s="2" t="n">
        <v>48</v>
      </c>
      <c r="F297" s="3" t="n">
        <v>297492</v>
      </c>
      <c r="G297" s="3" t="n">
        <v>120999</v>
      </c>
    </row>
    <row r="298" customFormat="false" ht="15" hidden="false" customHeight="false" outlineLevel="0" collapsed="false">
      <c r="A298" s="2" t="s">
        <v>33</v>
      </c>
      <c r="B298" s="2" t="n">
        <v>2024</v>
      </c>
      <c r="C298" s="2" t="s">
        <v>14</v>
      </c>
      <c r="D298" s="2" t="s">
        <v>9</v>
      </c>
      <c r="E298" s="2" t="n">
        <v>17</v>
      </c>
      <c r="F298" s="3" t="n">
        <v>8927</v>
      </c>
      <c r="G298" s="3" t="n">
        <v>910</v>
      </c>
    </row>
    <row r="299" customFormat="false" ht="15" hidden="false" customHeight="false" outlineLevel="0" collapsed="false">
      <c r="A299" s="2" t="s">
        <v>33</v>
      </c>
      <c r="B299" s="2" t="n">
        <v>2024</v>
      </c>
      <c r="C299" s="2" t="s">
        <v>14</v>
      </c>
      <c r="D299" s="2" t="s">
        <v>10</v>
      </c>
      <c r="E299" s="2" t="n">
        <v>36</v>
      </c>
      <c r="F299" s="3" t="n">
        <v>15381</v>
      </c>
      <c r="G299" s="3" t="n">
        <v>937</v>
      </c>
    </row>
    <row r="300" customFormat="false" ht="15" hidden="false" customHeight="false" outlineLevel="0" collapsed="false">
      <c r="A300" s="2" t="s">
        <v>33</v>
      </c>
      <c r="B300" s="2" t="n">
        <v>2024</v>
      </c>
      <c r="C300" s="2" t="s">
        <v>14</v>
      </c>
      <c r="D300" s="2" t="s">
        <v>11</v>
      </c>
      <c r="E300" s="2" t="n">
        <v>61</v>
      </c>
      <c r="F300" s="3" t="n">
        <v>31021</v>
      </c>
      <c r="G300" s="3" t="n">
        <v>3413</v>
      </c>
    </row>
    <row r="301" customFormat="false" ht="15" hidden="false" customHeight="false" outlineLevel="0" collapsed="false">
      <c r="A301" s="2" t="s">
        <v>33</v>
      </c>
      <c r="B301" s="2" t="n">
        <v>2024</v>
      </c>
      <c r="C301" s="2" t="s">
        <v>14</v>
      </c>
      <c r="D301" s="2" t="s">
        <v>12</v>
      </c>
      <c r="E301" s="2" t="n">
        <v>48</v>
      </c>
      <c r="F301" s="3" t="n">
        <v>18278</v>
      </c>
      <c r="G301" s="3" t="n">
        <v>1743</v>
      </c>
    </row>
    <row r="302" customFormat="false" ht="15" hidden="false" customHeight="false" outlineLevel="0" collapsed="false">
      <c r="A302" s="2" t="s">
        <v>33</v>
      </c>
      <c r="B302" s="2" t="n">
        <v>2024</v>
      </c>
      <c r="C302" s="2" t="s">
        <v>15</v>
      </c>
      <c r="D302" s="2" t="s">
        <v>9</v>
      </c>
      <c r="E302" s="2" t="n">
        <v>25</v>
      </c>
      <c r="F302" s="3" t="n">
        <v>525323</v>
      </c>
      <c r="G302" s="3" t="n">
        <v>122013</v>
      </c>
    </row>
    <row r="303" customFormat="false" ht="15" hidden="false" customHeight="false" outlineLevel="0" collapsed="false">
      <c r="A303" s="2" t="s">
        <v>33</v>
      </c>
      <c r="B303" s="2" t="n">
        <v>2024</v>
      </c>
      <c r="C303" s="2" t="s">
        <v>15</v>
      </c>
      <c r="D303" s="2" t="s">
        <v>10</v>
      </c>
      <c r="E303" s="2" t="n">
        <v>31</v>
      </c>
      <c r="F303" s="3" t="n">
        <v>477497</v>
      </c>
      <c r="G303" s="3" t="n">
        <v>100192</v>
      </c>
    </row>
    <row r="304" customFormat="false" ht="15" hidden="false" customHeight="false" outlineLevel="0" collapsed="false">
      <c r="A304" s="2" t="s">
        <v>33</v>
      </c>
      <c r="B304" s="2" t="n">
        <v>2024</v>
      </c>
      <c r="C304" s="2" t="s">
        <v>15</v>
      </c>
      <c r="D304" s="2" t="s">
        <v>11</v>
      </c>
      <c r="E304" s="2" t="n">
        <v>55</v>
      </c>
      <c r="F304" s="3" t="n">
        <v>886192</v>
      </c>
      <c r="G304" s="3" t="n">
        <v>196921</v>
      </c>
    </row>
    <row r="305" customFormat="false" ht="15" hidden="false" customHeight="false" outlineLevel="0" collapsed="false">
      <c r="A305" s="2" t="s">
        <v>33</v>
      </c>
      <c r="B305" s="2" t="n">
        <v>2024</v>
      </c>
      <c r="C305" s="2" t="s">
        <v>15</v>
      </c>
      <c r="D305" s="2" t="s">
        <v>12</v>
      </c>
      <c r="E305" s="2" t="n">
        <v>39</v>
      </c>
      <c r="F305" s="3" t="n">
        <v>544646</v>
      </c>
      <c r="G305" s="3" t="n">
        <v>143749</v>
      </c>
    </row>
    <row r="306" customFormat="false" ht="15" hidden="false" customHeight="false" outlineLevel="0" collapsed="false">
      <c r="A306" s="2" t="s">
        <v>34</v>
      </c>
      <c r="B306" s="2" t="n">
        <v>2024</v>
      </c>
      <c r="C306" s="2" t="s">
        <v>8</v>
      </c>
      <c r="D306" s="2" t="s">
        <v>9</v>
      </c>
      <c r="E306" s="2" t="n">
        <v>24</v>
      </c>
      <c r="F306" s="3" t="n">
        <v>1336310</v>
      </c>
      <c r="G306" s="3" t="n">
        <v>40268</v>
      </c>
    </row>
    <row r="307" customFormat="false" ht="15" hidden="false" customHeight="false" outlineLevel="0" collapsed="false">
      <c r="A307" s="2" t="s">
        <v>34</v>
      </c>
      <c r="B307" s="2" t="n">
        <v>2024</v>
      </c>
      <c r="C307" s="2" t="s">
        <v>8</v>
      </c>
      <c r="D307" s="2" t="s">
        <v>10</v>
      </c>
      <c r="E307" s="2" t="n">
        <v>37</v>
      </c>
      <c r="F307" s="3" t="n">
        <v>2650096</v>
      </c>
      <c r="G307" s="3" t="n">
        <v>-39917</v>
      </c>
    </row>
    <row r="308" customFormat="false" ht="15" hidden="false" customHeight="false" outlineLevel="0" collapsed="false">
      <c r="A308" s="2" t="s">
        <v>34</v>
      </c>
      <c r="B308" s="2" t="n">
        <v>2024</v>
      </c>
      <c r="C308" s="2" t="s">
        <v>8</v>
      </c>
      <c r="D308" s="2" t="s">
        <v>11</v>
      </c>
      <c r="E308" s="2" t="n">
        <v>67</v>
      </c>
      <c r="F308" s="3" t="n">
        <v>4367535</v>
      </c>
      <c r="G308" s="3" t="n">
        <v>181693</v>
      </c>
    </row>
    <row r="309" customFormat="false" ht="15" hidden="false" customHeight="false" outlineLevel="0" collapsed="false">
      <c r="A309" s="2" t="s">
        <v>34</v>
      </c>
      <c r="B309" s="2" t="n">
        <v>2024</v>
      </c>
      <c r="C309" s="2" t="s">
        <v>8</v>
      </c>
      <c r="D309" s="2" t="s">
        <v>12</v>
      </c>
      <c r="E309" s="2" t="n">
        <v>41</v>
      </c>
      <c r="F309" s="3" t="n">
        <v>2263806</v>
      </c>
      <c r="G309" s="3" t="n">
        <v>89459</v>
      </c>
    </row>
    <row r="310" customFormat="false" ht="15" hidden="false" customHeight="false" outlineLevel="0" collapsed="false">
      <c r="A310" s="2" t="s">
        <v>34</v>
      </c>
      <c r="B310" s="2" t="n">
        <v>2024</v>
      </c>
      <c r="C310" s="2" t="s">
        <v>13</v>
      </c>
      <c r="D310" s="2" t="s">
        <v>9</v>
      </c>
      <c r="E310" s="2" t="n">
        <v>21</v>
      </c>
      <c r="F310" s="3" t="n">
        <v>118513</v>
      </c>
      <c r="G310" s="3" t="n">
        <v>47465</v>
      </c>
    </row>
    <row r="311" customFormat="false" ht="15" hidden="false" customHeight="false" outlineLevel="0" collapsed="false">
      <c r="A311" s="2" t="s">
        <v>34</v>
      </c>
      <c r="B311" s="2" t="n">
        <v>2024</v>
      </c>
      <c r="C311" s="2" t="s">
        <v>13</v>
      </c>
      <c r="D311" s="2" t="s">
        <v>10</v>
      </c>
      <c r="E311" s="2" t="n">
        <v>47</v>
      </c>
      <c r="F311" s="3" t="n">
        <v>280073</v>
      </c>
      <c r="G311" s="3" t="n">
        <v>117506</v>
      </c>
    </row>
    <row r="312" customFormat="false" ht="15" hidden="false" customHeight="false" outlineLevel="0" collapsed="false">
      <c r="A312" s="2" t="s">
        <v>34</v>
      </c>
      <c r="B312" s="2" t="n">
        <v>2024</v>
      </c>
      <c r="C312" s="2" t="s">
        <v>13</v>
      </c>
      <c r="D312" s="2" t="s">
        <v>11</v>
      </c>
      <c r="E312" s="2" t="n">
        <v>55</v>
      </c>
      <c r="F312" s="3" t="n">
        <v>308015</v>
      </c>
      <c r="G312" s="3" t="n">
        <v>124459</v>
      </c>
    </row>
    <row r="313" customFormat="false" ht="15" hidden="false" customHeight="false" outlineLevel="0" collapsed="false">
      <c r="A313" s="2" t="s">
        <v>34</v>
      </c>
      <c r="B313" s="2" t="n">
        <v>2024</v>
      </c>
      <c r="C313" s="2" t="s">
        <v>13</v>
      </c>
      <c r="D313" s="2" t="s">
        <v>12</v>
      </c>
      <c r="E313" s="2" t="n">
        <v>45</v>
      </c>
      <c r="F313" s="3" t="n">
        <v>304610</v>
      </c>
      <c r="G313" s="3" t="n">
        <v>123590</v>
      </c>
    </row>
    <row r="314" customFormat="false" ht="15" hidden="false" customHeight="false" outlineLevel="0" collapsed="false">
      <c r="A314" s="2" t="s">
        <v>34</v>
      </c>
      <c r="B314" s="2" t="n">
        <v>2024</v>
      </c>
      <c r="C314" s="2" t="s">
        <v>14</v>
      </c>
      <c r="D314" s="2" t="s">
        <v>9</v>
      </c>
      <c r="E314" s="2" t="n">
        <v>21</v>
      </c>
      <c r="F314" s="3" t="n">
        <v>8074</v>
      </c>
      <c r="G314" s="3" t="n">
        <v>709</v>
      </c>
    </row>
    <row r="315" customFormat="false" ht="15" hidden="false" customHeight="false" outlineLevel="0" collapsed="false">
      <c r="A315" s="2" t="s">
        <v>34</v>
      </c>
      <c r="B315" s="2" t="n">
        <v>2024</v>
      </c>
      <c r="C315" s="2" t="s">
        <v>14</v>
      </c>
      <c r="D315" s="2" t="s">
        <v>10</v>
      </c>
      <c r="E315" s="2" t="n">
        <v>48</v>
      </c>
      <c r="F315" s="3" t="n">
        <v>21824</v>
      </c>
      <c r="G315" s="3" t="n">
        <v>1645</v>
      </c>
    </row>
    <row r="316" customFormat="false" ht="15" hidden="false" customHeight="false" outlineLevel="0" collapsed="false">
      <c r="A316" s="2" t="s">
        <v>34</v>
      </c>
      <c r="B316" s="2" t="n">
        <v>2024</v>
      </c>
      <c r="C316" s="2" t="s">
        <v>14</v>
      </c>
      <c r="D316" s="2" t="s">
        <v>11</v>
      </c>
      <c r="E316" s="2" t="n">
        <v>63</v>
      </c>
      <c r="F316" s="3" t="n">
        <v>25009</v>
      </c>
      <c r="G316" s="3" t="n">
        <v>2522</v>
      </c>
    </row>
    <row r="317" customFormat="false" ht="15" hidden="false" customHeight="false" outlineLevel="0" collapsed="false">
      <c r="A317" s="2" t="s">
        <v>34</v>
      </c>
      <c r="B317" s="2" t="n">
        <v>2024</v>
      </c>
      <c r="C317" s="2" t="s">
        <v>14</v>
      </c>
      <c r="D317" s="2" t="s">
        <v>12</v>
      </c>
      <c r="E317" s="2" t="n">
        <v>40</v>
      </c>
      <c r="F317" s="3" t="n">
        <v>16373</v>
      </c>
      <c r="G317" s="3" t="n">
        <v>1392</v>
      </c>
    </row>
    <row r="318" customFormat="false" ht="15" hidden="false" customHeight="false" outlineLevel="0" collapsed="false">
      <c r="A318" s="2" t="s">
        <v>34</v>
      </c>
      <c r="B318" s="2" t="n">
        <v>2024</v>
      </c>
      <c r="C318" s="2" t="s">
        <v>15</v>
      </c>
      <c r="D318" s="2" t="s">
        <v>9</v>
      </c>
      <c r="E318" s="2" t="n">
        <v>26</v>
      </c>
      <c r="F318" s="3" t="n">
        <v>451520</v>
      </c>
      <c r="G318" s="3" t="n">
        <v>114593</v>
      </c>
    </row>
    <row r="319" customFormat="false" ht="15" hidden="false" customHeight="false" outlineLevel="0" collapsed="false">
      <c r="A319" s="2" t="s">
        <v>34</v>
      </c>
      <c r="B319" s="2" t="n">
        <v>2024</v>
      </c>
      <c r="C319" s="2" t="s">
        <v>15</v>
      </c>
      <c r="D319" s="2" t="s">
        <v>10</v>
      </c>
      <c r="E319" s="2" t="n">
        <v>37</v>
      </c>
      <c r="F319" s="3" t="n">
        <v>534253</v>
      </c>
      <c r="G319" s="3" t="n">
        <v>109939</v>
      </c>
    </row>
    <row r="320" customFormat="false" ht="15" hidden="false" customHeight="false" outlineLevel="0" collapsed="false">
      <c r="A320" s="2" t="s">
        <v>34</v>
      </c>
      <c r="B320" s="2" t="n">
        <v>2024</v>
      </c>
      <c r="C320" s="2" t="s">
        <v>15</v>
      </c>
      <c r="D320" s="2" t="s">
        <v>11</v>
      </c>
      <c r="E320" s="2" t="n">
        <v>65</v>
      </c>
      <c r="F320" s="3" t="n">
        <v>905790</v>
      </c>
      <c r="G320" s="3" t="n">
        <v>201694</v>
      </c>
    </row>
    <row r="321" customFormat="false" ht="15" hidden="false" customHeight="false" outlineLevel="0" collapsed="false">
      <c r="A321" s="2" t="s">
        <v>34</v>
      </c>
      <c r="B321" s="2" t="n">
        <v>2024</v>
      </c>
      <c r="C321" s="2" t="s">
        <v>15</v>
      </c>
      <c r="D321" s="2" t="s">
        <v>12</v>
      </c>
      <c r="E321" s="2" t="n">
        <v>50</v>
      </c>
      <c r="F321" s="3" t="n">
        <v>837903</v>
      </c>
      <c r="G321" s="3" t="n">
        <v>172566</v>
      </c>
    </row>
    <row r="322" customFormat="false" ht="15" hidden="false" customHeight="false" outlineLevel="0" collapsed="false">
      <c r="A322" s="2" t="s">
        <v>35</v>
      </c>
      <c r="B322" s="2" t="n">
        <v>2024</v>
      </c>
      <c r="C322" s="2" t="s">
        <v>8</v>
      </c>
      <c r="D322" s="2" t="s">
        <v>9</v>
      </c>
      <c r="E322" s="2" t="n">
        <v>28</v>
      </c>
      <c r="F322" s="3" t="n">
        <v>2174048</v>
      </c>
      <c r="G322" s="3" t="n">
        <v>84240</v>
      </c>
    </row>
    <row r="323" customFormat="false" ht="15" hidden="false" customHeight="false" outlineLevel="0" collapsed="false">
      <c r="A323" s="2" t="s">
        <v>35</v>
      </c>
      <c r="B323" s="2" t="n">
        <v>2024</v>
      </c>
      <c r="C323" s="2" t="s">
        <v>8</v>
      </c>
      <c r="D323" s="2" t="s">
        <v>10</v>
      </c>
      <c r="E323" s="2" t="n">
        <v>52</v>
      </c>
      <c r="F323" s="3" t="n">
        <v>2899017</v>
      </c>
      <c r="G323" s="3" t="n">
        <v>64481</v>
      </c>
    </row>
    <row r="324" customFormat="false" ht="15" hidden="false" customHeight="false" outlineLevel="0" collapsed="false">
      <c r="A324" s="2" t="s">
        <v>35</v>
      </c>
      <c r="B324" s="2" t="n">
        <v>2024</v>
      </c>
      <c r="C324" s="2" t="s">
        <v>8</v>
      </c>
      <c r="D324" s="2" t="s">
        <v>11</v>
      </c>
      <c r="E324" s="2" t="n">
        <v>72</v>
      </c>
      <c r="F324" s="3" t="n">
        <v>4074135</v>
      </c>
      <c r="G324" s="3" t="n">
        <v>78858</v>
      </c>
    </row>
    <row r="325" customFormat="false" ht="15" hidden="false" customHeight="false" outlineLevel="0" collapsed="false">
      <c r="A325" s="2" t="s">
        <v>35</v>
      </c>
      <c r="B325" s="2" t="n">
        <v>2024</v>
      </c>
      <c r="C325" s="2" t="s">
        <v>8</v>
      </c>
      <c r="D325" s="2" t="s">
        <v>12</v>
      </c>
      <c r="E325" s="2" t="n">
        <v>59</v>
      </c>
      <c r="F325" s="3" t="n">
        <v>3120836</v>
      </c>
      <c r="G325" s="3" t="n">
        <v>125619</v>
      </c>
    </row>
    <row r="326" customFormat="false" ht="15" hidden="false" customHeight="false" outlineLevel="0" collapsed="false">
      <c r="A326" s="2" t="s">
        <v>35</v>
      </c>
      <c r="B326" s="2" t="n">
        <v>2024</v>
      </c>
      <c r="C326" s="2" t="s">
        <v>13</v>
      </c>
      <c r="D326" s="2" t="s">
        <v>9</v>
      </c>
      <c r="E326" s="2" t="n">
        <v>16</v>
      </c>
      <c r="F326" s="3" t="n">
        <v>75033</v>
      </c>
      <c r="G326" s="3" t="n">
        <v>28637</v>
      </c>
    </row>
    <row r="327" customFormat="false" ht="15" hidden="false" customHeight="false" outlineLevel="0" collapsed="false">
      <c r="A327" s="2" t="s">
        <v>35</v>
      </c>
      <c r="B327" s="2" t="n">
        <v>2024</v>
      </c>
      <c r="C327" s="2" t="s">
        <v>13</v>
      </c>
      <c r="D327" s="2" t="s">
        <v>10</v>
      </c>
      <c r="E327" s="2" t="n">
        <v>43</v>
      </c>
      <c r="F327" s="3" t="n">
        <v>242202</v>
      </c>
      <c r="G327" s="3" t="n">
        <v>96580</v>
      </c>
    </row>
    <row r="328" customFormat="false" ht="15" hidden="false" customHeight="false" outlineLevel="0" collapsed="false">
      <c r="A328" s="2" t="s">
        <v>35</v>
      </c>
      <c r="B328" s="2" t="n">
        <v>2024</v>
      </c>
      <c r="C328" s="2" t="s">
        <v>13</v>
      </c>
      <c r="D328" s="2" t="s">
        <v>11</v>
      </c>
      <c r="E328" s="2" t="n">
        <v>58</v>
      </c>
      <c r="F328" s="3" t="n">
        <v>348263</v>
      </c>
      <c r="G328" s="3" t="n">
        <v>130863</v>
      </c>
    </row>
    <row r="329" customFormat="false" ht="15" hidden="false" customHeight="false" outlineLevel="0" collapsed="false">
      <c r="A329" s="2" t="s">
        <v>35</v>
      </c>
      <c r="B329" s="2" t="n">
        <v>2024</v>
      </c>
      <c r="C329" s="2" t="s">
        <v>13</v>
      </c>
      <c r="D329" s="2" t="s">
        <v>12</v>
      </c>
      <c r="E329" s="2" t="n">
        <v>51</v>
      </c>
      <c r="F329" s="3" t="n">
        <v>305999</v>
      </c>
      <c r="G329" s="3" t="n">
        <v>124710</v>
      </c>
    </row>
    <row r="330" customFormat="false" ht="15" hidden="false" customHeight="false" outlineLevel="0" collapsed="false">
      <c r="A330" s="2" t="s">
        <v>35</v>
      </c>
      <c r="B330" s="2" t="n">
        <v>2024</v>
      </c>
      <c r="C330" s="2" t="s">
        <v>14</v>
      </c>
      <c r="D330" s="2" t="s">
        <v>9</v>
      </c>
      <c r="E330" s="2" t="n">
        <v>11</v>
      </c>
      <c r="F330" s="3" t="n">
        <v>3510</v>
      </c>
      <c r="G330" s="3" t="n">
        <v>433</v>
      </c>
    </row>
    <row r="331" customFormat="false" ht="15" hidden="false" customHeight="false" outlineLevel="0" collapsed="false">
      <c r="A331" s="2" t="s">
        <v>35</v>
      </c>
      <c r="B331" s="2" t="n">
        <v>2024</v>
      </c>
      <c r="C331" s="2" t="s">
        <v>14</v>
      </c>
      <c r="D331" s="2" t="s">
        <v>10</v>
      </c>
      <c r="E331" s="2" t="n">
        <v>33</v>
      </c>
      <c r="F331" s="3" t="n">
        <v>16135</v>
      </c>
      <c r="G331" s="3" t="n">
        <v>2099</v>
      </c>
    </row>
    <row r="332" customFormat="false" ht="15" hidden="false" customHeight="false" outlineLevel="0" collapsed="false">
      <c r="A332" s="2" t="s">
        <v>35</v>
      </c>
      <c r="B332" s="2" t="n">
        <v>2024</v>
      </c>
      <c r="C332" s="2" t="s">
        <v>14</v>
      </c>
      <c r="D332" s="2" t="s">
        <v>11</v>
      </c>
      <c r="E332" s="2" t="n">
        <v>60</v>
      </c>
      <c r="F332" s="3" t="n">
        <v>29739</v>
      </c>
      <c r="G332" s="3" t="n">
        <v>2462</v>
      </c>
    </row>
    <row r="333" customFormat="false" ht="15" hidden="false" customHeight="false" outlineLevel="0" collapsed="false">
      <c r="A333" s="2" t="s">
        <v>35</v>
      </c>
      <c r="B333" s="2" t="n">
        <v>2024</v>
      </c>
      <c r="C333" s="2" t="s">
        <v>14</v>
      </c>
      <c r="D333" s="2" t="s">
        <v>12</v>
      </c>
      <c r="E333" s="2" t="n">
        <v>67</v>
      </c>
      <c r="F333" s="3" t="n">
        <v>30831</v>
      </c>
      <c r="G333" s="3" t="n">
        <v>2928</v>
      </c>
    </row>
    <row r="334" customFormat="false" ht="15" hidden="false" customHeight="false" outlineLevel="0" collapsed="false">
      <c r="A334" s="2" t="s">
        <v>35</v>
      </c>
      <c r="B334" s="2" t="n">
        <v>2024</v>
      </c>
      <c r="C334" s="2" t="s">
        <v>15</v>
      </c>
      <c r="D334" s="2" t="s">
        <v>9</v>
      </c>
      <c r="E334" s="2" t="n">
        <v>24</v>
      </c>
      <c r="F334" s="3" t="n">
        <v>302630</v>
      </c>
      <c r="G334" s="3" t="n">
        <v>71822</v>
      </c>
    </row>
    <row r="335" customFormat="false" ht="15" hidden="false" customHeight="false" outlineLevel="0" collapsed="false">
      <c r="A335" s="2" t="s">
        <v>35</v>
      </c>
      <c r="B335" s="2" t="n">
        <v>2024</v>
      </c>
      <c r="C335" s="2" t="s">
        <v>15</v>
      </c>
      <c r="D335" s="2" t="s">
        <v>10</v>
      </c>
      <c r="E335" s="2" t="n">
        <v>34</v>
      </c>
      <c r="F335" s="3" t="n">
        <v>589083</v>
      </c>
      <c r="G335" s="3" t="n">
        <v>115097</v>
      </c>
    </row>
    <row r="336" customFormat="false" ht="15" hidden="false" customHeight="false" outlineLevel="0" collapsed="false">
      <c r="A336" s="2" t="s">
        <v>35</v>
      </c>
      <c r="B336" s="2" t="n">
        <v>2024</v>
      </c>
      <c r="C336" s="2" t="s">
        <v>15</v>
      </c>
      <c r="D336" s="2" t="s">
        <v>11</v>
      </c>
      <c r="E336" s="2" t="n">
        <v>64</v>
      </c>
      <c r="F336" s="3" t="n">
        <v>1241798</v>
      </c>
      <c r="G336" s="3" t="n">
        <v>304625</v>
      </c>
    </row>
    <row r="337" customFormat="false" ht="15" hidden="false" customHeight="false" outlineLevel="0" collapsed="false">
      <c r="A337" s="2" t="s">
        <v>35</v>
      </c>
      <c r="B337" s="2" t="n">
        <v>2024</v>
      </c>
      <c r="C337" s="2" t="s">
        <v>15</v>
      </c>
      <c r="D337" s="2" t="s">
        <v>12</v>
      </c>
      <c r="E337" s="2" t="n">
        <v>62</v>
      </c>
      <c r="F337" s="3" t="n">
        <v>636505</v>
      </c>
      <c r="G337" s="3" t="n">
        <v>134884</v>
      </c>
    </row>
    <row r="338" customFormat="false" ht="15" hidden="false" customHeight="false" outlineLevel="0" collapsed="false">
      <c r="A338" s="2" t="s">
        <v>36</v>
      </c>
      <c r="B338" s="2" t="n">
        <v>2024</v>
      </c>
      <c r="C338" s="2" t="s">
        <v>8</v>
      </c>
      <c r="D338" s="2" t="s">
        <v>9</v>
      </c>
      <c r="E338" s="2" t="n">
        <v>36</v>
      </c>
      <c r="F338" s="3" t="n">
        <v>2239664</v>
      </c>
      <c r="G338" s="3" t="n">
        <v>57860</v>
      </c>
    </row>
    <row r="339" customFormat="false" ht="15" hidden="false" customHeight="false" outlineLevel="0" collapsed="false">
      <c r="A339" s="2" t="s">
        <v>36</v>
      </c>
      <c r="B339" s="2" t="n">
        <v>2024</v>
      </c>
      <c r="C339" s="2" t="s">
        <v>8</v>
      </c>
      <c r="D339" s="2" t="s">
        <v>10</v>
      </c>
      <c r="E339" s="2" t="n">
        <v>56</v>
      </c>
      <c r="F339" s="3" t="n">
        <v>3584403</v>
      </c>
      <c r="G339" s="3" t="n">
        <v>81863</v>
      </c>
    </row>
    <row r="340" customFormat="false" ht="15" hidden="false" customHeight="false" outlineLevel="0" collapsed="false">
      <c r="A340" s="2" t="s">
        <v>36</v>
      </c>
      <c r="B340" s="2" t="n">
        <v>2024</v>
      </c>
      <c r="C340" s="2" t="s">
        <v>8</v>
      </c>
      <c r="D340" s="2" t="s">
        <v>11</v>
      </c>
      <c r="E340" s="2" t="n">
        <v>79</v>
      </c>
      <c r="F340" s="3" t="n">
        <v>4818772</v>
      </c>
      <c r="G340" s="3" t="n">
        <v>208614</v>
      </c>
    </row>
    <row r="341" customFormat="false" ht="15" hidden="false" customHeight="false" outlineLevel="0" collapsed="false">
      <c r="A341" s="2" t="s">
        <v>36</v>
      </c>
      <c r="B341" s="2" t="n">
        <v>2024</v>
      </c>
      <c r="C341" s="2" t="s">
        <v>8</v>
      </c>
      <c r="D341" s="2" t="s">
        <v>12</v>
      </c>
      <c r="E341" s="2" t="n">
        <v>77</v>
      </c>
      <c r="F341" s="3" t="n">
        <v>4633684</v>
      </c>
      <c r="G341" s="3" t="n">
        <v>175435</v>
      </c>
    </row>
    <row r="342" customFormat="false" ht="15" hidden="false" customHeight="false" outlineLevel="0" collapsed="false">
      <c r="A342" s="2" t="s">
        <v>36</v>
      </c>
      <c r="B342" s="2" t="n">
        <v>2024</v>
      </c>
      <c r="C342" s="2" t="s">
        <v>13</v>
      </c>
      <c r="D342" s="2" t="s">
        <v>9</v>
      </c>
      <c r="E342" s="2" t="n">
        <v>44</v>
      </c>
      <c r="F342" s="3" t="n">
        <v>229498</v>
      </c>
      <c r="G342" s="3" t="n">
        <v>94633</v>
      </c>
    </row>
    <row r="343" customFormat="false" ht="15" hidden="false" customHeight="false" outlineLevel="0" collapsed="false">
      <c r="A343" s="2" t="s">
        <v>36</v>
      </c>
      <c r="B343" s="2" t="n">
        <v>2024</v>
      </c>
      <c r="C343" s="2" t="s">
        <v>13</v>
      </c>
      <c r="D343" s="2" t="s">
        <v>10</v>
      </c>
      <c r="E343" s="2" t="n">
        <v>56</v>
      </c>
      <c r="F343" s="3" t="n">
        <v>315357</v>
      </c>
      <c r="G343" s="3" t="n">
        <v>122893</v>
      </c>
    </row>
    <row r="344" customFormat="false" ht="15" hidden="false" customHeight="false" outlineLevel="0" collapsed="false">
      <c r="A344" s="2" t="s">
        <v>36</v>
      </c>
      <c r="B344" s="2" t="n">
        <v>2024</v>
      </c>
      <c r="C344" s="2" t="s">
        <v>13</v>
      </c>
      <c r="D344" s="2" t="s">
        <v>11</v>
      </c>
      <c r="E344" s="2" t="n">
        <v>84</v>
      </c>
      <c r="F344" s="3" t="n">
        <v>495018</v>
      </c>
      <c r="G344" s="3" t="n">
        <v>207752</v>
      </c>
    </row>
    <row r="345" customFormat="false" ht="15" hidden="false" customHeight="false" outlineLevel="0" collapsed="false">
      <c r="A345" s="2" t="s">
        <v>36</v>
      </c>
      <c r="B345" s="2" t="n">
        <v>2024</v>
      </c>
      <c r="C345" s="2" t="s">
        <v>13</v>
      </c>
      <c r="D345" s="2" t="s">
        <v>12</v>
      </c>
      <c r="E345" s="2" t="n">
        <v>65</v>
      </c>
      <c r="F345" s="3" t="n">
        <v>350226</v>
      </c>
      <c r="G345" s="3" t="n">
        <v>137640</v>
      </c>
    </row>
    <row r="346" customFormat="false" ht="15" hidden="false" customHeight="false" outlineLevel="0" collapsed="false">
      <c r="A346" s="2" t="s">
        <v>36</v>
      </c>
      <c r="B346" s="2" t="n">
        <v>2024</v>
      </c>
      <c r="C346" s="2" t="s">
        <v>14</v>
      </c>
      <c r="D346" s="2" t="s">
        <v>9</v>
      </c>
      <c r="E346" s="2" t="n">
        <v>43</v>
      </c>
      <c r="F346" s="3" t="n">
        <v>19213</v>
      </c>
      <c r="G346" s="3" t="n">
        <v>2175</v>
      </c>
    </row>
    <row r="347" customFormat="false" ht="15" hidden="false" customHeight="false" outlineLevel="0" collapsed="false">
      <c r="A347" s="2" t="s">
        <v>36</v>
      </c>
      <c r="B347" s="2" t="n">
        <v>2024</v>
      </c>
      <c r="C347" s="2" t="s">
        <v>14</v>
      </c>
      <c r="D347" s="2" t="s">
        <v>10</v>
      </c>
      <c r="E347" s="2" t="n">
        <v>71</v>
      </c>
      <c r="F347" s="3" t="n">
        <v>30559</v>
      </c>
      <c r="G347" s="3" t="n">
        <v>2284</v>
      </c>
    </row>
    <row r="348" customFormat="false" ht="15" hidden="false" customHeight="false" outlineLevel="0" collapsed="false">
      <c r="A348" s="2" t="s">
        <v>36</v>
      </c>
      <c r="B348" s="2" t="n">
        <v>2024</v>
      </c>
      <c r="C348" s="2" t="s">
        <v>14</v>
      </c>
      <c r="D348" s="2" t="s">
        <v>11</v>
      </c>
      <c r="E348" s="2" t="n">
        <v>74</v>
      </c>
      <c r="F348" s="3" t="n">
        <v>35390</v>
      </c>
      <c r="G348" s="3" t="n">
        <v>3213</v>
      </c>
    </row>
    <row r="349" customFormat="false" ht="15" hidden="false" customHeight="false" outlineLevel="0" collapsed="false">
      <c r="A349" s="2" t="s">
        <v>36</v>
      </c>
      <c r="B349" s="2" t="n">
        <v>2024</v>
      </c>
      <c r="C349" s="2" t="s">
        <v>14</v>
      </c>
      <c r="D349" s="2" t="s">
        <v>12</v>
      </c>
      <c r="E349" s="2" t="n">
        <v>63</v>
      </c>
      <c r="F349" s="3" t="n">
        <v>26050</v>
      </c>
      <c r="G349" s="3" t="n">
        <v>2048</v>
      </c>
    </row>
    <row r="350" customFormat="false" ht="15" hidden="false" customHeight="false" outlineLevel="0" collapsed="false">
      <c r="A350" s="2" t="s">
        <v>36</v>
      </c>
      <c r="B350" s="2" t="n">
        <v>2024</v>
      </c>
      <c r="C350" s="2" t="s">
        <v>15</v>
      </c>
      <c r="D350" s="2" t="s">
        <v>9</v>
      </c>
      <c r="E350" s="2" t="n">
        <v>36</v>
      </c>
      <c r="F350" s="3" t="n">
        <v>526656</v>
      </c>
      <c r="G350" s="3" t="n">
        <v>107440</v>
      </c>
    </row>
    <row r="351" customFormat="false" ht="15" hidden="false" customHeight="false" outlineLevel="0" collapsed="false">
      <c r="A351" s="2" t="s">
        <v>36</v>
      </c>
      <c r="B351" s="2" t="n">
        <v>2024</v>
      </c>
      <c r="C351" s="2" t="s">
        <v>15</v>
      </c>
      <c r="D351" s="2" t="s">
        <v>10</v>
      </c>
      <c r="E351" s="2" t="n">
        <v>62</v>
      </c>
      <c r="F351" s="3" t="n">
        <v>747779</v>
      </c>
      <c r="G351" s="3" t="n">
        <v>154237</v>
      </c>
    </row>
    <row r="352" customFormat="false" ht="15" hidden="false" customHeight="false" outlineLevel="0" collapsed="false">
      <c r="A352" s="2" t="s">
        <v>36</v>
      </c>
      <c r="B352" s="2" t="n">
        <v>2024</v>
      </c>
      <c r="C352" s="2" t="s">
        <v>15</v>
      </c>
      <c r="D352" s="2" t="s">
        <v>11</v>
      </c>
      <c r="E352" s="2" t="n">
        <v>92</v>
      </c>
      <c r="F352" s="3" t="n">
        <v>1510411</v>
      </c>
      <c r="G352" s="3" t="n">
        <v>389198</v>
      </c>
    </row>
    <row r="353" customFormat="false" ht="15" hidden="false" customHeight="false" outlineLevel="0" collapsed="false">
      <c r="A353" s="2" t="s">
        <v>36</v>
      </c>
      <c r="B353" s="2" t="n">
        <v>2024</v>
      </c>
      <c r="C353" s="2" t="s">
        <v>15</v>
      </c>
      <c r="D353" s="2" t="s">
        <v>12</v>
      </c>
      <c r="E353" s="2" t="n">
        <v>65</v>
      </c>
      <c r="F353" s="3" t="n">
        <v>914318</v>
      </c>
      <c r="G353" s="3" t="n">
        <v>201912</v>
      </c>
    </row>
    <row r="354" customFormat="false" ht="15" hidden="false" customHeight="false" outlineLevel="0" collapsed="false">
      <c r="A354" s="2" t="s">
        <v>37</v>
      </c>
      <c r="B354" s="2" t="n">
        <v>2024</v>
      </c>
      <c r="C354" s="2" t="s">
        <v>8</v>
      </c>
      <c r="D354" s="2" t="s">
        <v>9</v>
      </c>
      <c r="E354" s="2" t="n">
        <v>44</v>
      </c>
      <c r="F354" s="3" t="n">
        <v>3207374</v>
      </c>
      <c r="G354" s="3" t="n">
        <v>66742</v>
      </c>
    </row>
    <row r="355" customFormat="false" ht="15" hidden="false" customHeight="false" outlineLevel="0" collapsed="false">
      <c r="A355" s="2" t="s">
        <v>37</v>
      </c>
      <c r="B355" s="2" t="n">
        <v>2024</v>
      </c>
      <c r="C355" s="2" t="s">
        <v>8</v>
      </c>
      <c r="D355" s="2" t="s">
        <v>10</v>
      </c>
      <c r="E355" s="2" t="n">
        <v>55</v>
      </c>
      <c r="F355" s="3" t="n">
        <v>3949726</v>
      </c>
      <c r="G355" s="3" t="n">
        <v>158418</v>
      </c>
    </row>
    <row r="356" customFormat="false" ht="15" hidden="false" customHeight="false" outlineLevel="0" collapsed="false">
      <c r="A356" s="2" t="s">
        <v>37</v>
      </c>
      <c r="B356" s="2" t="n">
        <v>2024</v>
      </c>
      <c r="C356" s="2" t="s">
        <v>8</v>
      </c>
      <c r="D356" s="2" t="s">
        <v>11</v>
      </c>
      <c r="E356" s="2" t="n">
        <v>89</v>
      </c>
      <c r="F356" s="3" t="n">
        <v>5730705</v>
      </c>
      <c r="G356" s="3" t="n">
        <v>206266</v>
      </c>
    </row>
    <row r="357" customFormat="false" ht="15" hidden="false" customHeight="false" outlineLevel="0" collapsed="false">
      <c r="A357" s="2" t="s">
        <v>37</v>
      </c>
      <c r="B357" s="2" t="n">
        <v>2024</v>
      </c>
      <c r="C357" s="2" t="s">
        <v>8</v>
      </c>
      <c r="D357" s="2" t="s">
        <v>12</v>
      </c>
      <c r="E357" s="2" t="n">
        <v>75</v>
      </c>
      <c r="F357" s="3" t="n">
        <v>4456796</v>
      </c>
      <c r="G357" s="3" t="n">
        <v>50880</v>
      </c>
    </row>
    <row r="358" customFormat="false" ht="15" hidden="false" customHeight="false" outlineLevel="0" collapsed="false">
      <c r="A358" s="2" t="s">
        <v>37</v>
      </c>
      <c r="B358" s="2" t="n">
        <v>2024</v>
      </c>
      <c r="C358" s="2" t="s">
        <v>13</v>
      </c>
      <c r="D358" s="2" t="s">
        <v>9</v>
      </c>
      <c r="E358" s="2" t="n">
        <v>36</v>
      </c>
      <c r="F358" s="3" t="n">
        <v>194015</v>
      </c>
      <c r="G358" s="3" t="n">
        <v>81779</v>
      </c>
    </row>
    <row r="359" customFormat="false" ht="15" hidden="false" customHeight="false" outlineLevel="0" collapsed="false">
      <c r="A359" s="2" t="s">
        <v>37</v>
      </c>
      <c r="B359" s="2" t="n">
        <v>2024</v>
      </c>
      <c r="C359" s="2" t="s">
        <v>13</v>
      </c>
      <c r="D359" s="2" t="s">
        <v>10</v>
      </c>
      <c r="E359" s="2" t="n">
        <v>48</v>
      </c>
      <c r="F359" s="3" t="n">
        <v>251496</v>
      </c>
      <c r="G359" s="3" t="n">
        <v>104940</v>
      </c>
    </row>
    <row r="360" customFormat="false" ht="15" hidden="false" customHeight="false" outlineLevel="0" collapsed="false">
      <c r="A360" s="2" t="s">
        <v>37</v>
      </c>
      <c r="B360" s="2" t="n">
        <v>2024</v>
      </c>
      <c r="C360" s="2" t="s">
        <v>13</v>
      </c>
      <c r="D360" s="2" t="s">
        <v>11</v>
      </c>
      <c r="E360" s="2" t="n">
        <v>94</v>
      </c>
      <c r="F360" s="3" t="n">
        <v>535715</v>
      </c>
      <c r="G360" s="3" t="n">
        <v>212599</v>
      </c>
    </row>
    <row r="361" customFormat="false" ht="15" hidden="false" customHeight="false" outlineLevel="0" collapsed="false">
      <c r="A361" s="2" t="s">
        <v>37</v>
      </c>
      <c r="B361" s="2" t="n">
        <v>2024</v>
      </c>
      <c r="C361" s="2" t="s">
        <v>13</v>
      </c>
      <c r="D361" s="2" t="s">
        <v>12</v>
      </c>
      <c r="E361" s="2" t="n">
        <v>85</v>
      </c>
      <c r="F361" s="3" t="n">
        <v>452696</v>
      </c>
      <c r="G361" s="3" t="n">
        <v>181902</v>
      </c>
    </row>
    <row r="362" customFormat="false" ht="15" hidden="false" customHeight="false" outlineLevel="0" collapsed="false">
      <c r="A362" s="2" t="s">
        <v>37</v>
      </c>
      <c r="B362" s="2" t="n">
        <v>2024</v>
      </c>
      <c r="C362" s="2" t="s">
        <v>14</v>
      </c>
      <c r="D362" s="2" t="s">
        <v>9</v>
      </c>
      <c r="E362" s="2" t="n">
        <v>34</v>
      </c>
      <c r="F362" s="3" t="n">
        <v>16142</v>
      </c>
      <c r="G362" s="3" t="n">
        <v>1401</v>
      </c>
    </row>
    <row r="363" customFormat="false" ht="15" hidden="false" customHeight="false" outlineLevel="0" collapsed="false">
      <c r="A363" s="2" t="s">
        <v>37</v>
      </c>
      <c r="B363" s="2" t="n">
        <v>2024</v>
      </c>
      <c r="C363" s="2" t="s">
        <v>14</v>
      </c>
      <c r="D363" s="2" t="s">
        <v>10</v>
      </c>
      <c r="E363" s="2" t="n">
        <v>49</v>
      </c>
      <c r="F363" s="3" t="n">
        <v>19417</v>
      </c>
      <c r="G363" s="3" t="n">
        <v>1540</v>
      </c>
    </row>
    <row r="364" customFormat="false" ht="15" hidden="false" customHeight="false" outlineLevel="0" collapsed="false">
      <c r="A364" s="2" t="s">
        <v>37</v>
      </c>
      <c r="B364" s="2" t="n">
        <v>2024</v>
      </c>
      <c r="C364" s="2" t="s">
        <v>14</v>
      </c>
      <c r="D364" s="2" t="s">
        <v>11</v>
      </c>
      <c r="E364" s="2" t="n">
        <v>74</v>
      </c>
      <c r="F364" s="3" t="n">
        <v>36295</v>
      </c>
      <c r="G364" s="3" t="n">
        <v>4336</v>
      </c>
    </row>
    <row r="365" customFormat="false" ht="15" hidden="false" customHeight="false" outlineLevel="0" collapsed="false">
      <c r="A365" s="2" t="s">
        <v>37</v>
      </c>
      <c r="B365" s="2" t="n">
        <v>2024</v>
      </c>
      <c r="C365" s="2" t="s">
        <v>14</v>
      </c>
      <c r="D365" s="2" t="s">
        <v>12</v>
      </c>
      <c r="E365" s="2" t="n">
        <v>82</v>
      </c>
      <c r="F365" s="3" t="n">
        <v>38638</v>
      </c>
      <c r="G365" s="3" t="n">
        <v>3492</v>
      </c>
    </row>
    <row r="366" customFormat="false" ht="15" hidden="false" customHeight="false" outlineLevel="0" collapsed="false">
      <c r="A366" s="2" t="s">
        <v>37</v>
      </c>
      <c r="B366" s="2" t="n">
        <v>2024</v>
      </c>
      <c r="C366" s="2" t="s">
        <v>15</v>
      </c>
      <c r="D366" s="2" t="s">
        <v>9</v>
      </c>
      <c r="E366" s="2" t="n">
        <v>27</v>
      </c>
      <c r="F366" s="3" t="n">
        <v>270643</v>
      </c>
      <c r="G366" s="3" t="n">
        <v>57065</v>
      </c>
    </row>
    <row r="367" customFormat="false" ht="15" hidden="false" customHeight="false" outlineLevel="0" collapsed="false">
      <c r="A367" s="2" t="s">
        <v>37</v>
      </c>
      <c r="B367" s="2" t="n">
        <v>2024</v>
      </c>
      <c r="C367" s="2" t="s">
        <v>15</v>
      </c>
      <c r="D367" s="2" t="s">
        <v>10</v>
      </c>
      <c r="E367" s="2" t="n">
        <v>50</v>
      </c>
      <c r="F367" s="3" t="n">
        <v>788234</v>
      </c>
      <c r="G367" s="3" t="n">
        <v>194817</v>
      </c>
    </row>
    <row r="368" customFormat="false" ht="15" hidden="false" customHeight="false" outlineLevel="0" collapsed="false">
      <c r="A368" s="2" t="s">
        <v>37</v>
      </c>
      <c r="B368" s="2" t="n">
        <v>2024</v>
      </c>
      <c r="C368" s="2" t="s">
        <v>15</v>
      </c>
      <c r="D368" s="2" t="s">
        <v>11</v>
      </c>
      <c r="E368" s="2" t="n">
        <v>101</v>
      </c>
      <c r="F368" s="3" t="n">
        <v>1293448</v>
      </c>
      <c r="G368" s="3" t="n">
        <v>313831</v>
      </c>
    </row>
    <row r="369" customFormat="false" ht="15" hidden="false" customHeight="false" outlineLevel="0" collapsed="false">
      <c r="A369" s="2" t="s">
        <v>37</v>
      </c>
      <c r="B369" s="2" t="n">
        <v>2024</v>
      </c>
      <c r="C369" s="2" t="s">
        <v>15</v>
      </c>
      <c r="D369" s="2" t="s">
        <v>12</v>
      </c>
      <c r="E369" s="2" t="n">
        <v>77</v>
      </c>
      <c r="F369" s="3" t="n">
        <v>1111143</v>
      </c>
      <c r="G369" s="3" t="n">
        <v>236625</v>
      </c>
    </row>
    <row r="370" customFormat="false" ht="15" hidden="false" customHeight="false" outlineLevel="0" collapsed="false">
      <c r="A370" s="2" t="s">
        <v>38</v>
      </c>
      <c r="B370" s="2" t="n">
        <v>2024</v>
      </c>
      <c r="C370" s="2" t="s">
        <v>8</v>
      </c>
      <c r="D370" s="2" t="s">
        <v>9</v>
      </c>
      <c r="E370" s="2" t="n">
        <v>38</v>
      </c>
      <c r="F370" s="3" t="n">
        <v>3105018</v>
      </c>
      <c r="G370" s="3" t="n">
        <v>-40337</v>
      </c>
    </row>
    <row r="371" customFormat="false" ht="15" hidden="false" customHeight="false" outlineLevel="0" collapsed="false">
      <c r="A371" s="2" t="s">
        <v>38</v>
      </c>
      <c r="B371" s="2" t="n">
        <v>2024</v>
      </c>
      <c r="C371" s="2" t="s">
        <v>8</v>
      </c>
      <c r="D371" s="2" t="s">
        <v>10</v>
      </c>
      <c r="E371" s="2" t="n">
        <v>40</v>
      </c>
      <c r="F371" s="3" t="n">
        <v>2201893</v>
      </c>
      <c r="G371" s="3" t="n">
        <v>119443</v>
      </c>
    </row>
    <row r="372" customFormat="false" ht="15" hidden="false" customHeight="false" outlineLevel="0" collapsed="false">
      <c r="A372" s="2" t="s">
        <v>38</v>
      </c>
      <c r="B372" s="2" t="n">
        <v>2024</v>
      </c>
      <c r="C372" s="2" t="s">
        <v>8</v>
      </c>
      <c r="D372" s="2" t="s">
        <v>11</v>
      </c>
      <c r="E372" s="2" t="n">
        <v>65</v>
      </c>
      <c r="F372" s="3" t="n">
        <v>4820827</v>
      </c>
      <c r="G372" s="3" t="n">
        <v>40394</v>
      </c>
    </row>
    <row r="373" customFormat="false" ht="15" hidden="false" customHeight="false" outlineLevel="0" collapsed="false">
      <c r="A373" s="2" t="s">
        <v>38</v>
      </c>
      <c r="B373" s="2" t="n">
        <v>2024</v>
      </c>
      <c r="C373" s="2" t="s">
        <v>8</v>
      </c>
      <c r="D373" s="2" t="s">
        <v>12</v>
      </c>
      <c r="E373" s="2" t="n">
        <v>76</v>
      </c>
      <c r="F373" s="3" t="n">
        <v>6352581</v>
      </c>
      <c r="G373" s="3" t="n">
        <v>267118</v>
      </c>
    </row>
    <row r="374" customFormat="false" ht="15" hidden="false" customHeight="false" outlineLevel="0" collapsed="false">
      <c r="A374" s="2" t="s">
        <v>38</v>
      </c>
      <c r="B374" s="2" t="n">
        <v>2024</v>
      </c>
      <c r="C374" s="2" t="s">
        <v>13</v>
      </c>
      <c r="D374" s="2" t="s">
        <v>9</v>
      </c>
      <c r="E374" s="2" t="n">
        <v>30</v>
      </c>
      <c r="F374" s="3" t="n">
        <v>203914</v>
      </c>
      <c r="G374" s="3" t="n">
        <v>75531</v>
      </c>
    </row>
    <row r="375" customFormat="false" ht="15" hidden="false" customHeight="false" outlineLevel="0" collapsed="false">
      <c r="A375" s="2" t="s">
        <v>38</v>
      </c>
      <c r="B375" s="2" t="n">
        <v>2024</v>
      </c>
      <c r="C375" s="2" t="s">
        <v>13</v>
      </c>
      <c r="D375" s="2" t="s">
        <v>10</v>
      </c>
      <c r="E375" s="2" t="n">
        <v>50</v>
      </c>
      <c r="F375" s="3" t="n">
        <v>248073</v>
      </c>
      <c r="G375" s="3" t="n">
        <v>100733</v>
      </c>
    </row>
    <row r="376" customFormat="false" ht="15" hidden="false" customHeight="false" outlineLevel="0" collapsed="false">
      <c r="A376" s="2" t="s">
        <v>38</v>
      </c>
      <c r="B376" s="2" t="n">
        <v>2024</v>
      </c>
      <c r="C376" s="2" t="s">
        <v>13</v>
      </c>
      <c r="D376" s="2" t="s">
        <v>11</v>
      </c>
      <c r="E376" s="2" t="n">
        <v>66</v>
      </c>
      <c r="F376" s="3" t="n">
        <v>372230</v>
      </c>
      <c r="G376" s="3" t="n">
        <v>151025</v>
      </c>
    </row>
    <row r="377" customFormat="false" ht="15" hidden="false" customHeight="false" outlineLevel="0" collapsed="false">
      <c r="A377" s="2" t="s">
        <v>38</v>
      </c>
      <c r="B377" s="2" t="n">
        <v>2024</v>
      </c>
      <c r="C377" s="2" t="s">
        <v>13</v>
      </c>
      <c r="D377" s="2" t="s">
        <v>12</v>
      </c>
      <c r="E377" s="2" t="n">
        <v>69</v>
      </c>
      <c r="F377" s="3" t="n">
        <v>456600</v>
      </c>
      <c r="G377" s="3" t="n">
        <v>192047</v>
      </c>
    </row>
    <row r="378" customFormat="false" ht="15" hidden="false" customHeight="false" outlineLevel="0" collapsed="false">
      <c r="A378" s="2" t="s">
        <v>38</v>
      </c>
      <c r="B378" s="2" t="n">
        <v>2024</v>
      </c>
      <c r="C378" s="2" t="s">
        <v>14</v>
      </c>
      <c r="D378" s="2" t="s">
        <v>9</v>
      </c>
      <c r="E378" s="2" t="n">
        <v>30</v>
      </c>
      <c r="F378" s="3" t="n">
        <v>13803</v>
      </c>
      <c r="G378" s="3" t="n">
        <v>1154</v>
      </c>
    </row>
    <row r="379" customFormat="false" ht="15" hidden="false" customHeight="false" outlineLevel="0" collapsed="false">
      <c r="A379" s="2" t="s">
        <v>38</v>
      </c>
      <c r="B379" s="2" t="n">
        <v>2024</v>
      </c>
      <c r="C379" s="2" t="s">
        <v>14</v>
      </c>
      <c r="D379" s="2" t="s">
        <v>10</v>
      </c>
      <c r="E379" s="2" t="n">
        <v>38</v>
      </c>
      <c r="F379" s="3" t="n">
        <v>18875</v>
      </c>
      <c r="G379" s="3" t="n">
        <v>1681</v>
      </c>
    </row>
    <row r="380" customFormat="false" ht="15" hidden="false" customHeight="false" outlineLevel="0" collapsed="false">
      <c r="A380" s="2" t="s">
        <v>38</v>
      </c>
      <c r="B380" s="2" t="n">
        <v>2024</v>
      </c>
      <c r="C380" s="2" t="s">
        <v>14</v>
      </c>
      <c r="D380" s="2" t="s">
        <v>11</v>
      </c>
      <c r="E380" s="2" t="n">
        <v>80</v>
      </c>
      <c r="F380" s="3" t="n">
        <v>38995</v>
      </c>
      <c r="G380" s="3" t="n">
        <v>3210</v>
      </c>
    </row>
    <row r="381" customFormat="false" ht="15" hidden="false" customHeight="false" outlineLevel="0" collapsed="false">
      <c r="A381" s="2" t="s">
        <v>38</v>
      </c>
      <c r="B381" s="2" t="n">
        <v>2024</v>
      </c>
      <c r="C381" s="2" t="s">
        <v>14</v>
      </c>
      <c r="D381" s="2" t="s">
        <v>12</v>
      </c>
      <c r="E381" s="2" t="n">
        <v>70</v>
      </c>
      <c r="F381" s="3" t="n">
        <v>32239</v>
      </c>
      <c r="G381" s="3" t="n">
        <v>3228</v>
      </c>
    </row>
    <row r="382" customFormat="false" ht="15" hidden="false" customHeight="false" outlineLevel="0" collapsed="false">
      <c r="A382" s="2" t="s">
        <v>38</v>
      </c>
      <c r="B382" s="2" t="n">
        <v>2024</v>
      </c>
      <c r="C382" s="2" t="s">
        <v>15</v>
      </c>
      <c r="D382" s="2" t="s">
        <v>9</v>
      </c>
      <c r="E382" s="2" t="n">
        <v>26</v>
      </c>
      <c r="F382" s="3" t="n">
        <v>287337</v>
      </c>
      <c r="G382" s="3" t="n">
        <v>64836</v>
      </c>
    </row>
    <row r="383" customFormat="false" ht="15" hidden="false" customHeight="false" outlineLevel="0" collapsed="false">
      <c r="A383" s="2" t="s">
        <v>38</v>
      </c>
      <c r="B383" s="2" t="n">
        <v>2024</v>
      </c>
      <c r="C383" s="2" t="s">
        <v>15</v>
      </c>
      <c r="D383" s="2" t="s">
        <v>10</v>
      </c>
      <c r="E383" s="2" t="n">
        <v>43</v>
      </c>
      <c r="F383" s="3" t="n">
        <v>621026</v>
      </c>
      <c r="G383" s="3" t="n">
        <v>144617</v>
      </c>
    </row>
    <row r="384" customFormat="false" ht="15" hidden="false" customHeight="false" outlineLevel="0" collapsed="false">
      <c r="A384" s="2" t="s">
        <v>38</v>
      </c>
      <c r="B384" s="2" t="n">
        <v>2024</v>
      </c>
      <c r="C384" s="2" t="s">
        <v>15</v>
      </c>
      <c r="D384" s="2" t="s">
        <v>11</v>
      </c>
      <c r="E384" s="2" t="n">
        <v>76</v>
      </c>
      <c r="F384" s="3" t="n">
        <v>1105897</v>
      </c>
      <c r="G384" s="3" t="n">
        <v>235605</v>
      </c>
    </row>
    <row r="385" customFormat="false" ht="15" hidden="false" customHeight="false" outlineLevel="0" collapsed="false">
      <c r="A385" s="2" t="s">
        <v>38</v>
      </c>
      <c r="B385" s="2" t="n">
        <v>2024</v>
      </c>
      <c r="C385" s="2" t="s">
        <v>15</v>
      </c>
      <c r="D385" s="2" t="s">
        <v>12</v>
      </c>
      <c r="E385" s="2" t="n">
        <v>65</v>
      </c>
      <c r="F385" s="3" t="n">
        <v>1057251</v>
      </c>
      <c r="G385" s="3" t="n">
        <v>236266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4" t="s">
        <v>39</v>
      </c>
    </row>
    <row r="2" customFormat="false" ht="15" hidden="false" customHeight="false" outlineLevel="0" collapsed="false">
      <c r="A2" s="5" t="s">
        <v>40</v>
      </c>
    </row>
    <row r="4" customFormat="false" ht="15" hidden="false" customHeight="false" outlineLevel="0" collapsed="false">
      <c r="A4" s="6" t="s">
        <v>41</v>
      </c>
    </row>
    <row r="5" customFormat="false" ht="15" hidden="false" customHeight="false" outlineLevel="0" collapsed="false">
      <c r="A5" s="1" t="s">
        <v>2</v>
      </c>
      <c r="B5" s="1" t="s">
        <v>5</v>
      </c>
      <c r="C5" s="1" t="s">
        <v>6</v>
      </c>
      <c r="D5" s="1" t="s">
        <v>42</v>
      </c>
      <c r="E5" s="1" t="s">
        <v>43</v>
      </c>
    </row>
    <row r="6" customFormat="false" ht="15" hidden="false" customHeight="false" outlineLevel="0" collapsed="false">
      <c r="A6" s="2" t="s">
        <v>8</v>
      </c>
      <c r="B6" s="3" t="n">
        <f aca="false">SUMIFS(Sales_Data!$F$2:$F$385,Sales_Data!$C$2:$C$385,A6)</f>
        <v>251253738</v>
      </c>
      <c r="C6" s="3" t="n">
        <f aca="false">SUMIFS(Sales_Data!$G$2:$G$385,Sales_Data!$C$2:$C$385,A6)</f>
        <v>7611422</v>
      </c>
      <c r="D6" s="7" t="n">
        <f aca="false">IF(B6=0,0,C6/B6)</f>
        <v>0.0302937662165249</v>
      </c>
      <c r="E6" s="7" t="n">
        <f aca="false">IF(B$10=0,0,B6/B$10)</f>
        <v>0.750340017679868</v>
      </c>
    </row>
    <row r="7" customFormat="false" ht="15" hidden="false" customHeight="false" outlineLevel="0" collapsed="false">
      <c r="A7" s="2" t="s">
        <v>13</v>
      </c>
      <c r="B7" s="3" t="n">
        <f aca="false">SUMIFS(Sales_Data!$F$2:$F$385,Sales_Data!$C$2:$C$385,A7)</f>
        <v>22371313</v>
      </c>
      <c r="C7" s="3" t="n">
        <f aca="false">SUMIFS(Sales_Data!$G$2:$G$385,Sales_Data!$C$2:$C$385,A7)</f>
        <v>8990703</v>
      </c>
      <c r="D7" s="7" t="n">
        <f aca="false">IF(B7=0,0,C7/B7)</f>
        <v>0.401885352013089</v>
      </c>
      <c r="E7" s="7" t="n">
        <f aca="false">IF(B$10=0,0,B7/B$10)</f>
        <v>0.0668093200346411</v>
      </c>
    </row>
    <row r="8" customFormat="false" ht="15" hidden="false" customHeight="false" outlineLevel="0" collapsed="false">
      <c r="A8" s="2" t="s">
        <v>14</v>
      </c>
      <c r="B8" s="3" t="n">
        <f aca="false">SUMIFS(Sales_Data!$F$2:$F$385,Sales_Data!$C$2:$C$385,A8)</f>
        <v>1737699</v>
      </c>
      <c r="C8" s="3" t="n">
        <f aca="false">SUMIFS(Sales_Data!$G$2:$G$385,Sales_Data!$C$2:$C$385,A8)</f>
        <v>154993</v>
      </c>
      <c r="D8" s="7" t="n">
        <f aca="false">IF(B8=0,0,C8/B8)</f>
        <v>0.0891943886714558</v>
      </c>
      <c r="E8" s="7" t="n">
        <f aca="false">IF(B$10=0,0,B8/B$10)</f>
        <v>0.00518943562297286</v>
      </c>
    </row>
    <row r="9" customFormat="false" ht="15" hidden="false" customHeight="false" outlineLevel="0" collapsed="false">
      <c r="A9" s="2" t="s">
        <v>15</v>
      </c>
      <c r="B9" s="3" t="n">
        <f aca="false">SUMIFS(Sales_Data!$F$2:$F$385,Sales_Data!$C$2:$C$385,A9)</f>
        <v>59490426</v>
      </c>
      <c r="C9" s="3" t="n">
        <f aca="false">SUMIFS(Sales_Data!$G$2:$G$385,Sales_Data!$C$2:$C$385,A9)</f>
        <v>13371192</v>
      </c>
      <c r="D9" s="7" t="n">
        <f aca="false">IF(B9=0,0,C9/B9)</f>
        <v>0.224762081885243</v>
      </c>
      <c r="E9" s="7" t="n">
        <f aca="false">IF(B$10=0,0,B9/B$10)</f>
        <v>0.177661226662518</v>
      </c>
    </row>
    <row r="10" customFormat="false" ht="15" hidden="false" customHeight="false" outlineLevel="0" collapsed="false">
      <c r="A10" s="8" t="s">
        <v>44</v>
      </c>
      <c r="B10" s="9" t="n">
        <f aca="false">SUM(B6:B9)</f>
        <v>334853176</v>
      </c>
      <c r="C10" s="9" t="n">
        <f aca="false">SUM(C6:C9)</f>
        <v>30128310</v>
      </c>
      <c r="D10" s="10" t="n">
        <f aca="false">IF(B10=0,0,C10/B10)</f>
        <v>0.0899746878912685</v>
      </c>
      <c r="E10" s="10" t="n">
        <f aca="false">SUM(E6:E9)</f>
        <v>1</v>
      </c>
    </row>
    <row r="13" customFormat="false" ht="15" hidden="false" customHeight="false" outlineLevel="0" collapsed="false">
      <c r="A13" s="6" t="s">
        <v>45</v>
      </c>
    </row>
    <row r="14" customFormat="false" ht="15" hidden="false" customHeight="false" outlineLevel="0" collapsed="false">
      <c r="A14" s="1" t="s">
        <v>3</v>
      </c>
      <c r="B14" s="1" t="s">
        <v>5</v>
      </c>
      <c r="C14" s="1" t="s">
        <v>6</v>
      </c>
      <c r="D14" s="1" t="s">
        <v>42</v>
      </c>
      <c r="E14" s="1" t="s">
        <v>43</v>
      </c>
    </row>
    <row r="15" customFormat="false" ht="15" hidden="false" customHeight="false" outlineLevel="0" collapsed="false">
      <c r="A15" s="2" t="s">
        <v>9</v>
      </c>
      <c r="B15" s="3" t="n">
        <f aca="false">SUMIFS(Sales_Data!$F$2:$F$385,Sales_Data!$D$2:$D$385,A15)</f>
        <v>47959262</v>
      </c>
      <c r="C15" s="3" t="n">
        <f aca="false">SUMIFS(Sales_Data!$G$2:$G$385,Sales_Data!$D$2:$D$385,A15)</f>
        <v>4122093</v>
      </c>
      <c r="D15" s="7" t="n">
        <f aca="false">IF(B15=0,0,C15/B15)</f>
        <v>0.0859498838827003</v>
      </c>
      <c r="E15" s="7" t="n">
        <f aca="false">IF(B$19=0,0,B15/B$19)</f>
        <v>0.143224748747791</v>
      </c>
    </row>
    <row r="16" customFormat="false" ht="15" hidden="false" customHeight="false" outlineLevel="0" collapsed="false">
      <c r="A16" s="2" t="s">
        <v>10</v>
      </c>
      <c r="B16" s="3" t="n">
        <f aca="false">SUMIFS(Sales_Data!$F$2:$F$385,Sales_Data!$D$2:$D$385,A16)</f>
        <v>67001896</v>
      </c>
      <c r="C16" s="3" t="n">
        <f aca="false">SUMIFS(Sales_Data!$G$2:$G$385,Sales_Data!$D$2:$D$385,A16)</f>
        <v>5744423</v>
      </c>
      <c r="D16" s="7" t="n">
        <f aca="false">IF(B16=0,0,C16/B16)</f>
        <v>0.0857352305373567</v>
      </c>
      <c r="E16" s="7" t="n">
        <f aca="false">IF(B$19=0,0,B16/B$19)</f>
        <v>0.200093356737342</v>
      </c>
    </row>
    <row r="17" customFormat="false" ht="15" hidden="false" customHeight="false" outlineLevel="0" collapsed="false">
      <c r="A17" s="2" t="s">
        <v>11</v>
      </c>
      <c r="B17" s="3" t="n">
        <f aca="false">SUMIFS(Sales_Data!$F$2:$F$385,Sales_Data!$D$2:$D$385,A17)</f>
        <v>119727543</v>
      </c>
      <c r="C17" s="3" t="n">
        <f aca="false">SUMIFS(Sales_Data!$G$2:$G$385,Sales_Data!$D$2:$D$385,A17)</f>
        <v>11128350</v>
      </c>
      <c r="D17" s="7" t="n">
        <f aca="false">IF(B17=0,0,C17/B17)</f>
        <v>0.0929472844857428</v>
      </c>
      <c r="E17" s="7" t="n">
        <f aca="false">IF(B$19=0,0,B17/B$19)</f>
        <v>0.357552359007639</v>
      </c>
    </row>
    <row r="18" customFormat="false" ht="15" hidden="false" customHeight="false" outlineLevel="0" collapsed="false">
      <c r="A18" s="2" t="s">
        <v>12</v>
      </c>
      <c r="B18" s="3" t="n">
        <f aca="false">SUMIFS(Sales_Data!$F$2:$F$385,Sales_Data!$D$2:$D$385,A18)</f>
        <v>100164475</v>
      </c>
      <c r="C18" s="3" t="n">
        <f aca="false">SUMIFS(Sales_Data!$G$2:$G$385,Sales_Data!$D$2:$D$385,A18)</f>
        <v>9133444</v>
      </c>
      <c r="D18" s="7" t="n">
        <f aca="false">IF(B18=0,0,C18/B18)</f>
        <v>0.0911844643522566</v>
      </c>
      <c r="E18" s="7" t="n">
        <f aca="false">IF(B$19=0,0,B18/B$19)</f>
        <v>0.299129535507228</v>
      </c>
    </row>
    <row r="19" customFormat="false" ht="15" hidden="false" customHeight="false" outlineLevel="0" collapsed="false">
      <c r="A19" s="8" t="s">
        <v>44</v>
      </c>
      <c r="B19" s="9" t="n">
        <f aca="false">SUM(B15:B18)</f>
        <v>334853176</v>
      </c>
      <c r="C19" s="9" t="n">
        <f aca="false">SUM(C15:C18)</f>
        <v>30128310</v>
      </c>
      <c r="D19" s="10" t="n">
        <f aca="false">IF(B19=0,0,C19/B19)</f>
        <v>0.0899746878912685</v>
      </c>
      <c r="E19" s="10" t="n">
        <f aca="false">SUM(E15:E18)</f>
        <v>1</v>
      </c>
    </row>
    <row r="21" customFormat="false" ht="15" hidden="false" customHeight="false" outlineLevel="0" collapsed="false">
      <c r="A21" s="6" t="s">
        <v>46</v>
      </c>
    </row>
    <row r="22" customFormat="false" ht="15" hidden="false" customHeight="false" outlineLevel="0" collapsed="false">
      <c r="A22" s="1" t="s">
        <v>1</v>
      </c>
      <c r="B22" s="1" t="s">
        <v>5</v>
      </c>
      <c r="C22" s="1" t="s">
        <v>6</v>
      </c>
      <c r="D22" s="1" t="s">
        <v>42</v>
      </c>
      <c r="E22" s="1" t="s">
        <v>43</v>
      </c>
    </row>
    <row r="23" customFormat="false" ht="15" hidden="false" customHeight="false" outlineLevel="0" collapsed="false">
      <c r="A23" s="2" t="n">
        <v>2023</v>
      </c>
      <c r="B23" s="3" t="n">
        <f aca="false">SUMIFS(Sales_Data!$F$2:$F$385,Sales_Data!$B$2:$B$385,A23)</f>
        <v>127157084</v>
      </c>
      <c r="C23" s="3" t="n">
        <f aca="false">SUMIFS(Sales_Data!$G$2:$G$385,Sales_Data!$B$2:$B$385,A23)</f>
        <v>12060016</v>
      </c>
      <c r="D23" s="7" t="n">
        <f aca="false">IF(B23=0,0,C23/B23)</f>
        <v>0.0948434457650822</v>
      </c>
      <c r="E23" s="7" t="n">
        <f aca="false">IF(B$25=0,0,B23/B$25)</f>
        <v>0.379739817668625</v>
      </c>
    </row>
    <row r="24" customFormat="false" ht="15" hidden="false" customHeight="false" outlineLevel="0" collapsed="false">
      <c r="A24" s="2" t="n">
        <v>2024</v>
      </c>
      <c r="B24" s="3" t="n">
        <f aca="false">SUMIFS(Sales_Data!$F$2:$F$385,Sales_Data!$B$2:$B$385,A24)</f>
        <v>207696092</v>
      </c>
      <c r="C24" s="3" t="n">
        <f aca="false">SUMIFS(Sales_Data!$G$2:$G$385,Sales_Data!$B$2:$B$385,A24)</f>
        <v>18068294</v>
      </c>
      <c r="D24" s="7" t="n">
        <f aca="false">IF(B24=0,0,C24/B24)</f>
        <v>0.0869939045362491</v>
      </c>
      <c r="E24" s="7" t="n">
        <f aca="false">IF(B$25=0,0,B24/B$25)</f>
        <v>0.620260182331375</v>
      </c>
    </row>
    <row r="25" customFormat="false" ht="15" hidden="false" customHeight="false" outlineLevel="0" collapsed="false">
      <c r="A25" s="8" t="s">
        <v>44</v>
      </c>
      <c r="B25" s="9" t="n">
        <f aca="false">SUM(B23:B24)</f>
        <v>334853176</v>
      </c>
      <c r="C25" s="9" t="n">
        <f aca="false">SUM(C23:C24)</f>
        <v>30128310</v>
      </c>
      <c r="D25" s="10" t="n">
        <f aca="false">IF(B25=0,0,C25/B25)</f>
        <v>0.0899746878912685</v>
      </c>
      <c r="E25" s="10" t="n">
        <f aca="false">SUM(E23:E24)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8" t="s">
        <v>47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48</v>
      </c>
    </row>
    <row r="4" customFormat="false" ht="15" hidden="false" customHeight="false" outlineLevel="0" collapsed="false">
      <c r="A4" s="2" t="s">
        <v>49</v>
      </c>
    </row>
    <row r="5" customFormat="false" ht="15" hidden="false" customHeight="false" outlineLevel="0" collapsed="false">
      <c r="A5" s="2" t="s">
        <v>50</v>
      </c>
    </row>
    <row r="6" customFormat="false" ht="15" hidden="false" customHeight="false" outlineLevel="0" collapsed="false">
      <c r="A6" s="2" t="s">
        <v>51</v>
      </c>
    </row>
    <row r="7" customFormat="false" ht="15" hidden="false" customHeight="false" outlineLevel="0" collapsed="false">
      <c r="A7" s="2" t="s">
        <v>52</v>
      </c>
    </row>
    <row r="8" customFormat="false" ht="15" hidden="false" customHeight="false" outlineLevel="0" collapsed="false">
      <c r="A8" s="2" t="s">
        <v>53</v>
      </c>
    </row>
    <row r="9" customFormat="false" ht="15" hidden="false" customHeight="false" outlineLevel="0" collapsed="false">
      <c r="A9" s="2" t="s">
        <v>54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2026-10-08T03:46:27Z</dcterms:created>
  <dc:creator>openpyxl</dc:creator>
  <dc:description/>
  <dc:language>en-US</dc:language>
  <cp:lastModifiedBy/>
  <dcterms:modified xsi:type="dcterms:W3CDTF">2026-10-08T03:46:29Z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